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mahendra_kahar_dxc_com/Documents/Mahendra_60089372/DXC/DXC Initiative/DXC_Techno_Thon_2026/Technical Solution/"/>
    </mc:Choice>
  </mc:AlternateContent>
  <xr:revisionPtr revIDLastSave="15" documentId="13_ncr:1_{C5385C84-3F2F-4FFF-9901-06641B08D713}" xr6:coauthVersionLast="47" xr6:coauthVersionMax="47" xr10:uidLastSave="{B2D36DE5-5709-4D50-92CA-69A05F7DFA18}"/>
  <bookViews>
    <workbookView xWindow="-108" yWindow="-108" windowWidth="23256" windowHeight="12456" xr2:uid="{00000000-000D-0000-FFFF-FFFF00000000}"/>
  </bookViews>
  <sheets>
    <sheet name="Hospital_Master" sheetId="1" r:id="rId1"/>
    <sheet name="Welfare_Schemes" sheetId="2" r:id="rId2"/>
    <sheet name="Patient_Registration" sheetId="3" r:id="rId3"/>
    <sheet name="Service_Provision" sheetId="4" r:id="rId4"/>
    <sheet name="Beneficiary_Verification" sheetId="5" r:id="rId5"/>
    <sheet name="Data_Reporting" sheetId="6" r:id="rId6"/>
    <sheet name="Monitoring_Audit" sheetId="7" r:id="rId7"/>
    <sheet name="Status_Dashboard" sheetId="8" r:id="rId8"/>
  </sheets>
  <definedNames>
    <definedName name="_xlnm._FilterDatabase" localSheetId="2" hidden="1">Patient_Registration!$A$1:$I$21</definedName>
    <definedName name="_xlnm._FilterDatabase" localSheetId="7" hidden="1">Status_Dashboard!$A$1:$G$16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4CA01DBA-BD4B-453E-B43E-74C8DBEF9041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Hospital_Master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F959B382-C690-40A5-97C3-A2EF9B11036B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Welfare_Schemes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1D8C092E-075B-490F-BCE0-146E3A44B21B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Patient data table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6949935C-BBE4-476B-83E8-2D0F2F466B72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Service_Provision table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397B400A-6E5B-427D-9B57-36C961474EAD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Beneficiary_Verification table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E0CF550C-9CE2-451E-B20F-81029F3A0769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Data_Reporting table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Kahar, Mahendra</author>
  </authors>
  <commentList>
    <comment ref="A1" authorId="0" shapeId="0" xr:uid="{629ED0DC-18B1-4214-8343-947783A1AB19}">
      <text>
        <r>
          <rPr>
            <b/>
            <sz val="9"/>
            <color indexed="81"/>
            <rFont val="Tahoma"/>
            <charset val="1"/>
          </rPr>
          <t>Kahar, Mahendra:</t>
        </r>
        <r>
          <rPr>
            <sz val="9"/>
            <color indexed="81"/>
            <rFont val="Tahoma"/>
            <charset val="1"/>
          </rPr>
          <t xml:space="preserve">
"Primary Key" for Monitoring_Audit table</t>
        </r>
      </text>
    </comment>
  </commentList>
</comments>
</file>

<file path=xl/sharedStrings.xml><?xml version="1.0" encoding="utf-8"?>
<sst xmlns="http://schemas.openxmlformats.org/spreadsheetml/2006/main" count="739" uniqueCount="332">
  <si>
    <t>Hospital_ID</t>
  </si>
  <si>
    <t>Hospital_Name</t>
  </si>
  <si>
    <t>District</t>
  </si>
  <si>
    <t>State</t>
  </si>
  <si>
    <t>Hospital_Type</t>
  </si>
  <si>
    <t>Ownership</t>
  </si>
  <si>
    <t>Nodal_Officer</t>
  </si>
  <si>
    <t>Contact_Number</t>
  </si>
  <si>
    <t>Scheme_ID</t>
  </si>
  <si>
    <t>Scheme_Name</t>
  </si>
  <si>
    <t>Target_Beneficiary</t>
  </si>
  <si>
    <t>Coverage_Type</t>
  </si>
  <si>
    <t>Start_Date</t>
  </si>
  <si>
    <t>End_Date</t>
  </si>
  <si>
    <t>Funding_Agency</t>
  </si>
  <si>
    <t>Status</t>
  </si>
  <si>
    <t>Patient_ID</t>
  </si>
  <si>
    <t>Patient_Name</t>
  </si>
  <si>
    <t>Age</t>
  </si>
  <si>
    <t>Gender</t>
  </si>
  <si>
    <t>Aadhaar_ID</t>
  </si>
  <si>
    <t>Registration_Date</t>
  </si>
  <si>
    <t>Service_ID</t>
  </si>
  <si>
    <t>Service_Type</t>
  </si>
  <si>
    <t>Diagnosis</t>
  </si>
  <si>
    <t>Treatment_Provided</t>
  </si>
  <si>
    <t>Medicine_Cost</t>
  </si>
  <si>
    <t>Service_Date</t>
  </si>
  <si>
    <t>Verification_ID</t>
  </si>
  <si>
    <t>Eligibility_Status</t>
  </si>
  <si>
    <t>ID_Verified</t>
  </si>
  <si>
    <t>Verifier_Name</t>
  </si>
  <si>
    <t>Verification_Date</t>
  </si>
  <si>
    <t>Report_ID</t>
  </si>
  <si>
    <t>Total_Beneficiaries</t>
  </si>
  <si>
    <t>Total_Cost</t>
  </si>
  <si>
    <t>Report_Period</t>
  </si>
  <si>
    <t>Submitted_Date</t>
  </si>
  <si>
    <t>Audit_ID</t>
  </si>
  <si>
    <t>Audit_Type</t>
  </si>
  <si>
    <t>Findings</t>
  </si>
  <si>
    <t>Compliance_Status</t>
  </si>
  <si>
    <t>Audit_Date</t>
  </si>
  <si>
    <t>Execution_Status</t>
  </si>
  <si>
    <t>Utilization_%</t>
  </si>
  <si>
    <t>Issues_Identified</t>
  </si>
  <si>
    <t>Last_Updated</t>
  </si>
  <si>
    <t>Hosp01</t>
  </si>
  <si>
    <t>Hosp02</t>
  </si>
  <si>
    <t>Hosp03</t>
  </si>
  <si>
    <t>Hosp04</t>
  </si>
  <si>
    <t>Hosp05</t>
  </si>
  <si>
    <t>Hosp06</t>
  </si>
  <si>
    <t>Hosp07</t>
  </si>
  <si>
    <t>Hosp08</t>
  </si>
  <si>
    <t>Hosp09</t>
  </si>
  <si>
    <t>Hosp10</t>
  </si>
  <si>
    <t>Hosp11</t>
  </si>
  <si>
    <t>Hosp12</t>
  </si>
  <si>
    <t>Hosp13</t>
  </si>
  <si>
    <t>Hosp14</t>
  </si>
  <si>
    <t>Hosp15</t>
  </si>
  <si>
    <t>Hosp16</t>
  </si>
  <si>
    <t>Hosp17</t>
  </si>
  <si>
    <t>Hosp18</t>
  </si>
  <si>
    <t>Hosp19</t>
  </si>
  <si>
    <t>Hosp20</t>
  </si>
  <si>
    <t>Hosp Name 01</t>
  </si>
  <si>
    <t>Hosp Name 02</t>
  </si>
  <si>
    <t>Hosp Name 03</t>
  </si>
  <si>
    <t>Hosp Name 04</t>
  </si>
  <si>
    <t>Hosp Name 05</t>
  </si>
  <si>
    <t>Hosp Name 06</t>
  </si>
  <si>
    <t>Hosp Name 07</t>
  </si>
  <si>
    <t>Hosp Name 08</t>
  </si>
  <si>
    <t>Hosp Name 09</t>
  </si>
  <si>
    <t>Hosp Name 10</t>
  </si>
  <si>
    <t>Hosp Name 11</t>
  </si>
  <si>
    <t>Hosp Name 12</t>
  </si>
  <si>
    <t>Hosp Name 13</t>
  </si>
  <si>
    <t>Hosp Name 14</t>
  </si>
  <si>
    <t>Hosp Name 15</t>
  </si>
  <si>
    <t>Hosp Name 16</t>
  </si>
  <si>
    <t>Hosp Name 17</t>
  </si>
  <si>
    <t>Hosp Name 18</t>
  </si>
  <si>
    <t>Hosp Name 19</t>
  </si>
  <si>
    <t>Hosp Name 20</t>
  </si>
  <si>
    <t>Dist01</t>
  </si>
  <si>
    <t>Dist02</t>
  </si>
  <si>
    <t>Dist03</t>
  </si>
  <si>
    <t>Dist04</t>
  </si>
  <si>
    <t>Dist05</t>
  </si>
  <si>
    <t>Dist06</t>
  </si>
  <si>
    <t>Dist07</t>
  </si>
  <si>
    <t>Dist08</t>
  </si>
  <si>
    <t>Dist09</t>
  </si>
  <si>
    <t>Dist10</t>
  </si>
  <si>
    <t>Dist11</t>
  </si>
  <si>
    <t>Dist12</t>
  </si>
  <si>
    <t>Dist13</t>
  </si>
  <si>
    <t>Dist14</t>
  </si>
  <si>
    <t>Dist15</t>
  </si>
  <si>
    <t>Dist16</t>
  </si>
  <si>
    <t>Dist17</t>
  </si>
  <si>
    <t>Dist18</t>
  </si>
  <si>
    <t>Dist19</t>
  </si>
  <si>
    <t>Dist20</t>
  </si>
  <si>
    <t>State01</t>
  </si>
  <si>
    <t>State02</t>
  </si>
  <si>
    <t>State03</t>
  </si>
  <si>
    <t>State04</t>
  </si>
  <si>
    <t>State05</t>
  </si>
  <si>
    <t>State06</t>
  </si>
  <si>
    <t>State07</t>
  </si>
  <si>
    <t>State08</t>
  </si>
  <si>
    <t>State09</t>
  </si>
  <si>
    <t>State10</t>
  </si>
  <si>
    <t>State11</t>
  </si>
  <si>
    <t>State12</t>
  </si>
  <si>
    <t>State13</t>
  </si>
  <si>
    <t>State14</t>
  </si>
  <si>
    <t>State15</t>
  </si>
  <si>
    <t>State16</t>
  </si>
  <si>
    <t>State17</t>
  </si>
  <si>
    <t>State18</t>
  </si>
  <si>
    <t>State19</t>
  </si>
  <si>
    <t>State20</t>
  </si>
  <si>
    <t>Govt_Hosp01</t>
  </si>
  <si>
    <t>Govt_Hosp02</t>
  </si>
  <si>
    <t>Govt_Hosp03</t>
  </si>
  <si>
    <t>Govt_Hosp04</t>
  </si>
  <si>
    <t>Govt_Hosp05</t>
  </si>
  <si>
    <t>Govt_Hosp06</t>
  </si>
  <si>
    <t>Govt_Hosp07</t>
  </si>
  <si>
    <t>Govt_Hosp08</t>
  </si>
  <si>
    <t>Govt_Hosp09</t>
  </si>
  <si>
    <t>Govt_Hosp10</t>
  </si>
  <si>
    <t>Corp_Hosp01</t>
  </si>
  <si>
    <t>Corp_Hosp02</t>
  </si>
  <si>
    <t>Corp_Hosp03</t>
  </si>
  <si>
    <t>Corp_Hosp04</t>
  </si>
  <si>
    <t>Corp_Hosp05</t>
  </si>
  <si>
    <t>Corp_Hosp06</t>
  </si>
  <si>
    <t>Corp_Hosp07</t>
  </si>
  <si>
    <t>Corp_Hosp08</t>
  </si>
  <si>
    <t>Corp_Hosp09</t>
  </si>
  <si>
    <t>Corp_Hosp10</t>
  </si>
  <si>
    <t>SG_01</t>
  </si>
  <si>
    <t>CG 01</t>
  </si>
  <si>
    <t>SG_02</t>
  </si>
  <si>
    <t>SG_03</t>
  </si>
  <si>
    <t>SG_04</t>
  </si>
  <si>
    <t>SG_05</t>
  </si>
  <si>
    <t>Corp 01</t>
  </si>
  <si>
    <t>Corp 02</t>
  </si>
  <si>
    <t>Nodel_Officer_01</t>
  </si>
  <si>
    <t>Nodel_Officer_02</t>
  </si>
  <si>
    <t>Nodel_Officer_03</t>
  </si>
  <si>
    <t>Schm_01</t>
  </si>
  <si>
    <t>Schm_02</t>
  </si>
  <si>
    <t>Schm_03</t>
  </si>
  <si>
    <t>Schm_04</t>
  </si>
  <si>
    <t>Schm_05</t>
  </si>
  <si>
    <t>Scheme Name 01</t>
  </si>
  <si>
    <t>Scheme Name 02</t>
  </si>
  <si>
    <t>Scheme Name 03</t>
  </si>
  <si>
    <t>Scheme Name 04</t>
  </si>
  <si>
    <t>Scheme Name 05</t>
  </si>
  <si>
    <t>LIG</t>
  </si>
  <si>
    <t>MIG</t>
  </si>
  <si>
    <t>HIG</t>
  </si>
  <si>
    <t>Schm_06</t>
  </si>
  <si>
    <t>Schm_07</t>
  </si>
  <si>
    <t>Scheme Name 06</t>
  </si>
  <si>
    <t>Scheme Name 07</t>
  </si>
  <si>
    <t>All</t>
  </si>
  <si>
    <t>OPD and Path</t>
  </si>
  <si>
    <t>Health Insurance</t>
  </si>
  <si>
    <t>Advace Treatment</t>
  </si>
  <si>
    <t>31-06-2026</t>
  </si>
  <si>
    <t>Active</t>
  </si>
  <si>
    <t>Hold</t>
  </si>
  <si>
    <t>Pending Approval</t>
  </si>
  <si>
    <t>Inactive</t>
  </si>
  <si>
    <t>PID_01</t>
  </si>
  <si>
    <t>PID_02</t>
  </si>
  <si>
    <t>PID_03</t>
  </si>
  <si>
    <t>PID_04</t>
  </si>
  <si>
    <t>PID_05</t>
  </si>
  <si>
    <t>PID_06</t>
  </si>
  <si>
    <t>PID_07</t>
  </si>
  <si>
    <t>PID_08</t>
  </si>
  <si>
    <t>PID_09</t>
  </si>
  <si>
    <t>PID_10</t>
  </si>
  <si>
    <t>PID_11</t>
  </si>
  <si>
    <t>PID_12</t>
  </si>
  <si>
    <t>PID_13</t>
  </si>
  <si>
    <t>PID_14</t>
  </si>
  <si>
    <t>PID_15</t>
  </si>
  <si>
    <t>PID_16</t>
  </si>
  <si>
    <t>PID_17</t>
  </si>
  <si>
    <t>PID_18</t>
  </si>
  <si>
    <t>PID_19</t>
  </si>
  <si>
    <t>PID_20</t>
  </si>
  <si>
    <t>Name 01</t>
  </si>
  <si>
    <t>Name 02</t>
  </si>
  <si>
    <t>Name 03</t>
  </si>
  <si>
    <t>Name 04</t>
  </si>
  <si>
    <t>Name 05</t>
  </si>
  <si>
    <t>Name 06</t>
  </si>
  <si>
    <t>Name 07</t>
  </si>
  <si>
    <t>Name 08</t>
  </si>
  <si>
    <t>Name 09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</si>
  <si>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</si>
  <si>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</si>
  <si>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</si>
  <si>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</si>
  <si>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</si>
  <si>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</si>
  <si>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</si>
  <si>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</si>
  <si>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</si>
  <si>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</si>
  <si>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</si>
  <si>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M</t>
  </si>
  <si>
    <t>F</t>
  </si>
  <si>
    <t>T</t>
  </si>
  <si>
    <t>AID_01</t>
  </si>
  <si>
    <t>AID_02</t>
  </si>
  <si>
    <t>AID_03</t>
  </si>
  <si>
    <t>AID_04</t>
  </si>
  <si>
    <t>AID_05</t>
  </si>
  <si>
    <t>AID_06</t>
  </si>
  <si>
    <t>AID_07</t>
  </si>
  <si>
    <t>AID_08</t>
  </si>
  <si>
    <t>AID_09</t>
  </si>
  <si>
    <t>AID_10</t>
  </si>
  <si>
    <t>AID_11</t>
  </si>
  <si>
    <t>AID_12</t>
  </si>
  <si>
    <t>AID_13</t>
  </si>
  <si>
    <t>AID_14</t>
  </si>
  <si>
    <t>AID_15</t>
  </si>
  <si>
    <t>AID_16</t>
  </si>
  <si>
    <t>AID_17</t>
  </si>
  <si>
    <t>AID_18</t>
  </si>
  <si>
    <t>AID_19</t>
  </si>
  <si>
    <t>AID_20</t>
  </si>
  <si>
    <t>SID_01</t>
  </si>
  <si>
    <t>SID_02</t>
  </si>
  <si>
    <t>SID_03</t>
  </si>
  <si>
    <t>SID_04</t>
  </si>
  <si>
    <t>SID_05</t>
  </si>
  <si>
    <t>ST_01</t>
  </si>
  <si>
    <t>ST_02</t>
  </si>
  <si>
    <t>ST_03</t>
  </si>
  <si>
    <t>ST_04</t>
  </si>
  <si>
    <t>ST_05</t>
  </si>
  <si>
    <t>Diag 01</t>
  </si>
  <si>
    <t>Diag 02</t>
  </si>
  <si>
    <t>Diag 03</t>
  </si>
  <si>
    <t>Diag 04</t>
  </si>
  <si>
    <t>Diag 05</t>
  </si>
  <si>
    <t>TP 01</t>
  </si>
  <si>
    <t>TP 02</t>
  </si>
  <si>
    <t>TP 03</t>
  </si>
  <si>
    <t>TP 04</t>
  </si>
  <si>
    <t>TP 05</t>
  </si>
  <si>
    <t>VFI01</t>
  </si>
  <si>
    <t>VFI02</t>
  </si>
  <si>
    <t>VFI03</t>
  </si>
  <si>
    <t>VFI04</t>
  </si>
  <si>
    <t>VFI05</t>
  </si>
  <si>
    <t>VFI06</t>
  </si>
  <si>
    <t>VFI07</t>
  </si>
  <si>
    <t>VFI08</t>
  </si>
  <si>
    <t>VFI09</t>
  </si>
  <si>
    <t>VFI10</t>
  </si>
  <si>
    <t>VFI11</t>
  </si>
  <si>
    <t>VFI12</t>
  </si>
  <si>
    <t>VFI13</t>
  </si>
  <si>
    <t>VFI14</t>
  </si>
  <si>
    <t>VFI15</t>
  </si>
  <si>
    <t>VFI16</t>
  </si>
  <si>
    <t>VFI17</t>
  </si>
  <si>
    <t>VFI18</t>
  </si>
  <si>
    <t>VFI19</t>
  </si>
  <si>
    <t>VFI20</t>
  </si>
  <si>
    <t>Y</t>
  </si>
  <si>
    <t>Yes</t>
  </si>
  <si>
    <t>N</t>
  </si>
  <si>
    <t>V Name_01</t>
  </si>
  <si>
    <t>V Name_02</t>
  </si>
  <si>
    <t>V Name_04</t>
  </si>
  <si>
    <t>V Name_06</t>
  </si>
  <si>
    <t>V Name_07</t>
  </si>
  <si>
    <t>V Name_05</t>
  </si>
  <si>
    <t>RP_01_Schm_01</t>
  </si>
  <si>
    <t>RP_02_Schm_02</t>
  </si>
  <si>
    <t>RP_04_Schm_04</t>
  </si>
  <si>
    <t>RP_06_Schm_06</t>
  </si>
  <si>
    <t>RP_07_Schm_07</t>
  </si>
  <si>
    <t>RP_05_Schm_05</t>
  </si>
  <si>
    <t>Period</t>
  </si>
  <si>
    <t>Aud_01</t>
  </si>
  <si>
    <t>Aud_02</t>
  </si>
  <si>
    <t>Aud_03</t>
  </si>
  <si>
    <t>Aud_04</t>
  </si>
  <si>
    <t>Aud_05</t>
  </si>
  <si>
    <t>Aud_06</t>
  </si>
  <si>
    <t>Aud_07</t>
  </si>
  <si>
    <t>Aud_08</t>
  </si>
  <si>
    <t>Aud_09</t>
  </si>
  <si>
    <t>Aud_10</t>
  </si>
  <si>
    <t>Aud_11</t>
  </si>
  <si>
    <t>Aud_12</t>
  </si>
  <si>
    <t>Aud_13</t>
  </si>
  <si>
    <t>Aud_14</t>
  </si>
  <si>
    <t>Aud_15</t>
  </si>
  <si>
    <t>Internal</t>
  </si>
  <si>
    <t>External</t>
  </si>
  <si>
    <t xml:space="preserve">Excellent </t>
  </si>
  <si>
    <t>Good</t>
  </si>
  <si>
    <t>Average</t>
  </si>
  <si>
    <t>Poor</t>
  </si>
  <si>
    <t>C</t>
  </si>
  <si>
    <t>NC</t>
  </si>
  <si>
    <t>Allocated_Budget</t>
  </si>
  <si>
    <t>Resource Issue</t>
  </si>
  <si>
    <t>Equipment Issue</t>
  </si>
  <si>
    <t>No Issue</t>
  </si>
  <si>
    <t>Insurance Issue</t>
  </si>
  <si>
    <t>Need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</si>
</sst>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17" fontId="0" fillId="0" borderId="0" xfId="0" applyNumberFormat="1"/>
    <xf numFmtId="0" fontId="0" fillId="0" borderId="0" xfId="0" applyBorder="1"/>
    <xf numFmtId="0" fontId="0" fillId="0" borderId="0" xfId="0" applyNumberFormat="1" applyBorder="1"/>
    <xf numFmtId="17" fontId="0" fillId="0" borderId="0" xfId="0" applyNumberFormat="1" applyBorder="1"/>
    <xf numFmtId="15" fontId="0" fillId="0" borderId="0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cols>
    <col min="1" max="1" width="10.44140625" bestFit="1" customWidth="1"/>
    <col min="2" max="2" width="13.6640625" bestFit="1" customWidth="1"/>
    <col min="3" max="3" width="6.6640625" bestFit="1" customWidth="1"/>
    <col min="4" max="4" width="7.6640625" customWidth="1"/>
    <col min="5" max="5" width="12.6640625" bestFit="1" customWidth="1"/>
    <col min="6" max="6" width="9.88671875" bestFit="1" customWidth="1"/>
    <col min="7" max="7" width="15.6640625" bestFit="1" customWidth="1"/>
    <col min="8" max="8" width="1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47</v>
      </c>
      <c r="B2" t="s">
        <v>67</v>
      </c>
      <c r="C2" t="s">
        <v>87</v>
      </c>
      <c r="D2" t="s">
        <v>107</v>
      </c>
      <c r="E2" t="s">
        <v>127</v>
      </c>
      <c r="F2" t="s">
        <v>148</v>
      </c>
      <c r="G2" t="s">
        <v>155</v>
      </c>
      <c r="H2">
        <v>9900099901</v>
      </c>
    </row>
    <row r="3" spans="1:8" x14ac:dyDescent="0.3">
      <c r="A3" t="s">
        <v>48</v>
      </c>
      <c r="B3" t="s">
        <v>68</v>
      </c>
      <c r="C3" t="s">
        <v>88</v>
      </c>
      <c r="D3" t="s">
        <v>108</v>
      </c>
      <c r="E3" t="s">
        <v>128</v>
      </c>
      <c r="F3" t="s">
        <v>148</v>
      </c>
      <c r="G3" t="s">
        <v>155</v>
      </c>
      <c r="H3">
        <v>9900099901</v>
      </c>
    </row>
    <row r="4" spans="1:8" x14ac:dyDescent="0.3">
      <c r="A4" t="s">
        <v>49</v>
      </c>
      <c r="B4" t="s">
        <v>69</v>
      </c>
      <c r="C4" t="s">
        <v>89</v>
      </c>
      <c r="D4" t="s">
        <v>109</v>
      </c>
      <c r="E4" t="s">
        <v>129</v>
      </c>
      <c r="F4" t="s">
        <v>148</v>
      </c>
      <c r="G4" t="s">
        <v>155</v>
      </c>
      <c r="H4">
        <v>9900099901</v>
      </c>
    </row>
    <row r="5" spans="1:8" x14ac:dyDescent="0.3">
      <c r="A5" t="s">
        <v>50</v>
      </c>
      <c r="B5" t="s">
        <v>70</v>
      </c>
      <c r="C5" t="s">
        <v>90</v>
      </c>
      <c r="D5" t="s">
        <v>110</v>
      </c>
      <c r="E5" t="s">
        <v>130</v>
      </c>
      <c r="F5" t="s">
        <v>148</v>
      </c>
      <c r="G5" t="s">
        <v>155</v>
      </c>
      <c r="H5">
        <v>9900099901</v>
      </c>
    </row>
    <row r="6" spans="1:8" x14ac:dyDescent="0.3">
      <c r="A6" t="s">
        <v>51</v>
      </c>
      <c r="B6" t="s">
        <v>71</v>
      </c>
      <c r="C6" t="s">
        <v>91</v>
      </c>
      <c r="D6" t="s">
        <v>111</v>
      </c>
      <c r="E6" t="s">
        <v>131</v>
      </c>
      <c r="F6" t="s">
        <v>148</v>
      </c>
      <c r="G6" t="s">
        <v>155</v>
      </c>
      <c r="H6">
        <v>9900099901</v>
      </c>
    </row>
    <row r="7" spans="1:8" x14ac:dyDescent="0.3">
      <c r="A7" t="s">
        <v>52</v>
      </c>
      <c r="B7" t="s">
        <v>72</v>
      </c>
      <c r="C7" t="s">
        <v>92</v>
      </c>
      <c r="D7" t="s">
        <v>112</v>
      </c>
      <c r="E7" t="s">
        <v>132</v>
      </c>
      <c r="F7" t="s">
        <v>147</v>
      </c>
      <c r="G7" t="s">
        <v>156</v>
      </c>
      <c r="H7">
        <v>9900099902</v>
      </c>
    </row>
    <row r="8" spans="1:8" x14ac:dyDescent="0.3">
      <c r="A8" t="s">
        <v>53</v>
      </c>
      <c r="B8" t="s">
        <v>73</v>
      </c>
      <c r="C8" t="s">
        <v>93</v>
      </c>
      <c r="D8" t="s">
        <v>113</v>
      </c>
      <c r="E8" t="s">
        <v>133</v>
      </c>
      <c r="F8" t="s">
        <v>149</v>
      </c>
      <c r="G8" t="s">
        <v>156</v>
      </c>
      <c r="H8">
        <v>9900099902</v>
      </c>
    </row>
    <row r="9" spans="1:8" x14ac:dyDescent="0.3">
      <c r="A9" t="s">
        <v>54</v>
      </c>
      <c r="B9" t="s">
        <v>74</v>
      </c>
      <c r="C9" t="s">
        <v>94</v>
      </c>
      <c r="D9" t="s">
        <v>114</v>
      </c>
      <c r="E9" t="s">
        <v>134</v>
      </c>
      <c r="F9" t="s">
        <v>150</v>
      </c>
      <c r="G9" t="s">
        <v>156</v>
      </c>
      <c r="H9">
        <v>9900099902</v>
      </c>
    </row>
    <row r="10" spans="1:8" x14ac:dyDescent="0.3">
      <c r="A10" t="s">
        <v>55</v>
      </c>
      <c r="B10" t="s">
        <v>75</v>
      </c>
      <c r="C10" t="s">
        <v>95</v>
      </c>
      <c r="D10" t="s">
        <v>115</v>
      </c>
      <c r="E10" t="s">
        <v>135</v>
      </c>
      <c r="F10" t="s">
        <v>151</v>
      </c>
      <c r="G10" t="s">
        <v>156</v>
      </c>
      <c r="H10">
        <v>9900099902</v>
      </c>
    </row>
    <row r="11" spans="1:8" x14ac:dyDescent="0.3">
      <c r="A11" t="s">
        <v>56</v>
      </c>
      <c r="B11" t="s">
        <v>76</v>
      </c>
      <c r="C11" t="s">
        <v>96</v>
      </c>
      <c r="D11" t="s">
        <v>116</v>
      </c>
      <c r="E11" t="s">
        <v>136</v>
      </c>
      <c r="F11" t="s">
        <v>152</v>
      </c>
      <c r="G11" t="s">
        <v>156</v>
      </c>
      <c r="H11">
        <v>9900099902</v>
      </c>
    </row>
    <row r="12" spans="1:8" x14ac:dyDescent="0.3">
      <c r="A12" t="s">
        <v>57</v>
      </c>
      <c r="B12" t="s">
        <v>77</v>
      </c>
      <c r="C12" t="s">
        <v>97</v>
      </c>
      <c r="D12" t="s">
        <v>117</v>
      </c>
      <c r="E12" t="s">
        <v>137</v>
      </c>
      <c r="F12" t="s">
        <v>153</v>
      </c>
      <c r="G12" t="s">
        <v>157</v>
      </c>
      <c r="H12">
        <v>9900099903</v>
      </c>
    </row>
    <row r="13" spans="1:8" x14ac:dyDescent="0.3">
      <c r="A13" t="s">
        <v>58</v>
      </c>
      <c r="B13" t="s">
        <v>78</v>
      </c>
      <c r="C13" t="s">
        <v>98</v>
      </c>
      <c r="D13" t="s">
        <v>118</v>
      </c>
      <c r="E13" t="s">
        <v>138</v>
      </c>
      <c r="F13" t="s">
        <v>153</v>
      </c>
      <c r="G13" t="s">
        <v>157</v>
      </c>
      <c r="H13">
        <v>9900099903</v>
      </c>
    </row>
    <row r="14" spans="1:8" x14ac:dyDescent="0.3">
      <c r="A14" t="s">
        <v>59</v>
      </c>
      <c r="B14" t="s">
        <v>79</v>
      </c>
      <c r="C14" t="s">
        <v>99</v>
      </c>
      <c r="D14" t="s">
        <v>119</v>
      </c>
      <c r="E14" t="s">
        <v>139</v>
      </c>
      <c r="F14" t="s">
        <v>153</v>
      </c>
      <c r="G14" t="s">
        <v>157</v>
      </c>
      <c r="H14">
        <v>9900099903</v>
      </c>
    </row>
    <row r="15" spans="1:8" x14ac:dyDescent="0.3">
      <c r="A15" t="s">
        <v>60</v>
      </c>
      <c r="B15" t="s">
        <v>80</v>
      </c>
      <c r="C15" t="s">
        <v>100</v>
      </c>
      <c r="D15" t="s">
        <v>120</v>
      </c>
      <c r="E15" t="s">
        <v>140</v>
      </c>
      <c r="F15" t="s">
        <v>153</v>
      </c>
      <c r="G15" t="s">
        <v>157</v>
      </c>
      <c r="H15">
        <v>9900099903</v>
      </c>
    </row>
    <row r="16" spans="1:8" x14ac:dyDescent="0.3">
      <c r="A16" t="s">
        <v>61</v>
      </c>
      <c r="B16" t="s">
        <v>81</v>
      </c>
      <c r="C16" t="s">
        <v>101</v>
      </c>
      <c r="D16" t="s">
        <v>121</v>
      </c>
      <c r="E16" t="s">
        <v>141</v>
      </c>
      <c r="F16" t="s">
        <v>153</v>
      </c>
      <c r="G16" t="s">
        <v>157</v>
      </c>
      <c r="H16">
        <v>9900099903</v>
      </c>
    </row>
    <row r="17" spans="1:8" x14ac:dyDescent="0.3">
      <c r="A17" t="s">
        <v>62</v>
      </c>
      <c r="B17" t="s">
        <v>82</v>
      </c>
      <c r="C17" t="s">
        <v>102</v>
      </c>
      <c r="D17" t="s">
        <v>122</v>
      </c>
      <c r="E17" t="s">
        <v>142</v>
      </c>
      <c r="F17" t="s">
        <v>154</v>
      </c>
      <c r="G17" t="s">
        <v>157</v>
      </c>
      <c r="H17">
        <v>9900099903</v>
      </c>
    </row>
    <row r="18" spans="1:8" x14ac:dyDescent="0.3">
      <c r="A18" t="s">
        <v>63</v>
      </c>
      <c r="B18" t="s">
        <v>83</v>
      </c>
      <c r="C18" t="s">
        <v>103</v>
      </c>
      <c r="D18" t="s">
        <v>123</v>
      </c>
      <c r="E18" t="s">
        <v>143</v>
      </c>
      <c r="F18" t="s">
        <v>154</v>
      </c>
      <c r="G18" t="s">
        <v>157</v>
      </c>
      <c r="H18">
        <v>9900099903</v>
      </c>
    </row>
    <row r="19" spans="1:8" x14ac:dyDescent="0.3">
      <c r="A19" t="s">
        <v>64</v>
      </c>
      <c r="B19" t="s">
        <v>84</v>
      </c>
      <c r="C19" t="s">
        <v>104</v>
      </c>
      <c r="D19" t="s">
        <v>124</v>
      </c>
      <c r="E19" t="s">
        <v>144</v>
      </c>
      <c r="F19" t="s">
        <v>154</v>
      </c>
      <c r="G19" t="s">
        <v>157</v>
      </c>
      <c r="H19">
        <v>9900099903</v>
      </c>
    </row>
    <row r="20" spans="1:8" x14ac:dyDescent="0.3">
      <c r="A20" t="s">
        <v>65</v>
      </c>
      <c r="B20" t="s">
        <v>85</v>
      </c>
      <c r="C20" t="s">
        <v>105</v>
      </c>
      <c r="D20" t="s">
        <v>125</v>
      </c>
      <c r="E20" t="s">
        <v>145</v>
      </c>
      <c r="F20" t="s">
        <v>154</v>
      </c>
      <c r="G20" t="s">
        <v>157</v>
      </c>
      <c r="H20">
        <v>9900099903</v>
      </c>
    </row>
    <row r="21" spans="1:8" x14ac:dyDescent="0.3">
      <c r="A21" t="s">
        <v>66</v>
      </c>
      <c r="B21" t="s">
        <v>86</v>
      </c>
      <c r="C21" t="s">
        <v>106</v>
      </c>
      <c r="D21" t="s">
        <v>126</v>
      </c>
      <c r="E21" t="s">
        <v>146</v>
      </c>
      <c r="F21" t="s">
        <v>154</v>
      </c>
      <c r="G21" t="s">
        <v>157</v>
      </c>
      <c r="H21">
        <v>9900099903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B1" sqref="B1"/>
    </sheetView>
  </sheetViews>
  <sheetFormatPr defaultRowHeight="14.4" x14ac:dyDescent="0.3"/>
  <cols>
    <col min="1" max="1" width="10.109375" bestFit="1" customWidth="1"/>
    <col min="2" max="2" width="15.21875" bestFit="1" customWidth="1"/>
    <col min="3" max="3" width="16.33203125" bestFit="1" customWidth="1"/>
    <col min="4" max="4" width="16" customWidth="1"/>
    <col min="5" max="5" width="9.6640625" bestFit="1" customWidth="1"/>
    <col min="6" max="6" width="10.33203125" bestFit="1" customWidth="1"/>
    <col min="7" max="7" width="14.44140625" bestFit="1" customWidth="1"/>
    <col min="8" max="8" width="7.5546875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 t="s">
        <v>158</v>
      </c>
      <c r="B2" t="s">
        <v>163</v>
      </c>
      <c r="C2" t="s">
        <v>168</v>
      </c>
      <c r="D2" t="s">
        <v>175</v>
      </c>
      <c r="E2" s="1">
        <v>46023</v>
      </c>
      <c r="F2" s="1">
        <v>46387</v>
      </c>
      <c r="G2" t="s">
        <v>148</v>
      </c>
      <c r="H2" t="s">
        <v>180</v>
      </c>
    </row>
    <row r="3" spans="1:8" x14ac:dyDescent="0.3">
      <c r="A3" t="s">
        <v>159</v>
      </c>
      <c r="B3" t="s">
        <v>164</v>
      </c>
      <c r="C3" t="s">
        <v>168</v>
      </c>
      <c r="D3" t="s">
        <v>175</v>
      </c>
      <c r="E3" s="1">
        <v>46023</v>
      </c>
      <c r="F3" s="1">
        <v>46387</v>
      </c>
      <c r="G3" t="s">
        <v>148</v>
      </c>
      <c r="H3" t="s">
        <v>180</v>
      </c>
    </row>
    <row r="4" spans="1:8" x14ac:dyDescent="0.3">
      <c r="A4" t="s">
        <v>160</v>
      </c>
      <c r="B4" t="s">
        <v>165</v>
      </c>
      <c r="C4" t="s">
        <v>168</v>
      </c>
      <c r="D4" t="s">
        <v>176</v>
      </c>
      <c r="E4" s="1">
        <v>45658</v>
      </c>
      <c r="F4" s="1">
        <v>46022</v>
      </c>
      <c r="G4" t="s">
        <v>148</v>
      </c>
      <c r="H4" t="s">
        <v>183</v>
      </c>
    </row>
    <row r="5" spans="1:8" x14ac:dyDescent="0.3">
      <c r="A5" t="s">
        <v>161</v>
      </c>
      <c r="B5" t="s">
        <v>166</v>
      </c>
      <c r="C5" t="s">
        <v>169</v>
      </c>
      <c r="D5" t="s">
        <v>175</v>
      </c>
      <c r="E5" s="1">
        <v>46023</v>
      </c>
      <c r="F5" s="1">
        <v>46265</v>
      </c>
      <c r="G5" t="s">
        <v>147</v>
      </c>
      <c r="H5" t="s">
        <v>182</v>
      </c>
    </row>
    <row r="6" spans="1:8" x14ac:dyDescent="0.3">
      <c r="A6" t="s">
        <v>162</v>
      </c>
      <c r="B6" t="s">
        <v>167</v>
      </c>
      <c r="C6" t="s">
        <v>169</v>
      </c>
      <c r="D6" t="s">
        <v>177</v>
      </c>
      <c r="E6" s="1">
        <v>46023</v>
      </c>
      <c r="F6" s="1">
        <v>46265</v>
      </c>
      <c r="G6" t="s">
        <v>149</v>
      </c>
      <c r="H6" t="s">
        <v>180</v>
      </c>
    </row>
    <row r="7" spans="1:8" x14ac:dyDescent="0.3">
      <c r="A7" t="s">
        <v>171</v>
      </c>
      <c r="B7" t="s">
        <v>173</v>
      </c>
      <c r="C7" t="s">
        <v>170</v>
      </c>
      <c r="D7" t="s">
        <v>178</v>
      </c>
      <c r="E7" s="1">
        <v>46023</v>
      </c>
      <c r="F7" s="1" t="s">
        <v>179</v>
      </c>
      <c r="G7" t="s">
        <v>150</v>
      </c>
      <c r="H7" t="s">
        <v>181</v>
      </c>
    </row>
    <row r="8" spans="1:8" x14ac:dyDescent="0.3">
      <c r="A8" t="s">
        <v>172</v>
      </c>
      <c r="B8" t="s">
        <v>174</v>
      </c>
      <c r="C8" t="s">
        <v>170</v>
      </c>
      <c r="D8" t="s">
        <v>177</v>
      </c>
      <c r="E8" s="1">
        <v>46023</v>
      </c>
      <c r="F8" s="1" t="s">
        <v>179</v>
      </c>
      <c r="G8" t="s">
        <v>153</v>
      </c>
      <c r="H8" t="s">
        <v>180</v>
      </c>
    </row>
  </sheetData>
  <phoneticPr fontId="1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D23" sqref="D23"/>
    </sheetView>
  </sheetViews>
  <sheetFormatPr defaultRowHeight="14.4" x14ac:dyDescent="0.3"/>
  <cols>
    <col min="1" max="1" width="9.44140625" bestFit="1" customWidth="1"/>
    <col min="2" max="2" width="12.5546875" bestFit="1" customWidth="1"/>
    <col min="3" max="3" width="3.88671875" bestFit="1" customWidth="1"/>
    <col min="4" max="4" width="7" bestFit="1" customWidth="1"/>
    <col min="5" max="5" width="10.77734375" bestFit="1" customWidth="1"/>
    <col min="6" max="6" width="10.109375" bestFit="1" customWidth="1"/>
    <col min="7" max="7" width="10.44140625" bestFit="1" customWidth="1"/>
    <col min="8" max="8" width="15.77734375" bestFit="1" customWidth="1"/>
    <col min="11" max="11" width="9.21875" bestFit="1" customWidth="1"/>
  </cols>
  <sheetData>
    <row r="1" spans="1:11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8</v>
      </c>
      <c r="G1" t="s">
        <v>0</v>
      </c>
      <c r="H1" t="s">
        <v>21</v>
      </c>
      <c r="I1" t="s">
        <v>302</v>
      </c>
    </row>
    <row r="2" spans="1:11" x14ac:dyDescent="0.3">
      <c r="A2" t="s">
        <v>184</v>
      </c>
      <c r="B2" t="s">
        <v>204</v>
      </c>
      <c r="C2">
        <v>5</v>
      </c>
      <c r="D2" t="s">
        <v>224</v>
      </c>
      <c r="E2" t="s">
        <v>227</v>
      </c>
      <c r="F2" t="s">
        <v>158</v>
      </c>
      <c r="G2" t="s">
        <v>47</v>
      </c>
      <c r="H2" s="1">
        <v>46027</v>
      </c>
      <c r="I2" s="2">
        <v>46027</v>
      </c>
      <c r="K2" s="1"/>
    </row>
    <row r="3" spans="1:11" x14ac:dyDescent="0.3">
      <c r="A3" t="s">
        <v>185</v>
      </c>
      <c r="B3" t="s">
        <v>205</v>
      </c>
      <c r="C3">
        <v>5</v>
      </c>
      <c r="D3" t="s">
        <v>224</v>
      </c>
      <c r="E3" t="s">
        <v>228</v>
      </c>
      <c r="F3" t="s">
        <v>158</v>
      </c>
      <c r="G3" t="s">
        <v>47</v>
      </c>
      <c r="H3" s="1">
        <v>46028</v>
      </c>
      <c r="I3" s="2">
        <v>46028</v>
      </c>
      <c r="K3" s="1"/>
    </row>
    <row r="4" spans="1:11" x14ac:dyDescent="0.3">
      <c r="A4" t="s">
        <v>186</v>
      </c>
      <c r="B4" t="s">
        <v>206</v>
      </c>
      <c r="C4">
        <v>5</v>
      </c>
      <c r="D4" t="s">
        <v>225</v>
      </c>
      <c r="E4" t="s">
        <v>229</v>
      </c>
      <c r="F4" t="s">
        <v>158</v>
      </c>
      <c r="G4" t="s">
        <v>47</v>
      </c>
      <c r="H4" s="1">
        <v>46032</v>
      </c>
      <c r="I4" s="2">
        <v>46032</v>
      </c>
      <c r="K4" s="1"/>
    </row>
    <row r="5" spans="1:11" x14ac:dyDescent="0.3">
      <c r="A5" t="s">
        <v>187</v>
      </c>
      <c r="B5" t="s">
        <v>207</v>
      </c>
      <c r="C5">
        <v>5</v>
      </c>
      <c r="D5" t="s">
        <v>225</v>
      </c>
      <c r="E5" t="s">
        <v>230</v>
      </c>
      <c r="F5" t="s">
        <v>158</v>
      </c>
      <c r="G5" t="s">
        <v>50</v>
      </c>
      <c r="H5" s="1">
        <v>46037</v>
      </c>
      <c r="I5" s="2">
        <v>46037</v>
      </c>
      <c r="K5" s="1"/>
    </row>
    <row r="6" spans="1:11" x14ac:dyDescent="0.3">
      <c r="A6" t="s">
        <v>188</v>
      </c>
      <c r="B6" t="s">
        <v>208</v>
      </c>
      <c r="C6">
        <v>10</v>
      </c>
      <c r="D6" t="s">
        <v>224</v>
      </c>
      <c r="E6" t="s">
        <v>231</v>
      </c>
      <c r="F6" t="s">
        <v>159</v>
      </c>
      <c r="G6" t="s">
        <v>50</v>
      </c>
      <c r="H6" s="1">
        <v>46042</v>
      </c>
      <c r="I6" s="2">
        <v>46042</v>
      </c>
      <c r="K6" s="1"/>
    </row>
    <row r="7" spans="1:11" x14ac:dyDescent="0.3">
      <c r="A7" t="s">
        <v>189</v>
      </c>
      <c r="B7" t="s">
        <v>209</v>
      </c>
      <c r="C7">
        <v>10</v>
      </c>
      <c r="D7" t="s">
        <v>224</v>
      </c>
      <c r="E7" t="s">
        <v>232</v>
      </c>
      <c r="F7" t="s">
        <v>159</v>
      </c>
      <c r="G7" t="s">
        <v>52</v>
      </c>
      <c r="H7" s="1">
        <v>46042</v>
      </c>
      <c r="I7" s="2">
        <v>46042</v>
      </c>
      <c r="K7" s="1"/>
    </row>
    <row r="8" spans="1:11" x14ac:dyDescent="0.3">
      <c r="A8" t="s">
        <v>190</v>
      </c>
      <c r="B8" t="s">
        <v>210</v>
      </c>
      <c r="C8">
        <v>10</v>
      </c>
      <c r="D8" t="s">
        <v>225</v>
      </c>
      <c r="E8" t="s">
        <v>233</v>
      </c>
      <c r="F8" t="s">
        <v>161</v>
      </c>
      <c r="G8" t="s">
        <v>52</v>
      </c>
      <c r="H8" s="1">
        <v>46027</v>
      </c>
      <c r="I8" s="2">
        <v>46027</v>
      </c>
      <c r="K8" s="1"/>
    </row>
    <row r="9" spans="1:11" x14ac:dyDescent="0.3">
      <c r="A9" t="s">
        <v>191</v>
      </c>
      <c r="B9" t="s">
        <v>211</v>
      </c>
      <c r="C9">
        <v>15</v>
      </c>
      <c r="D9" t="s">
        <v>225</v>
      </c>
      <c r="E9" t="s">
        <v>234</v>
      </c>
      <c r="F9" t="s">
        <v>161</v>
      </c>
      <c r="G9" t="s">
        <v>52</v>
      </c>
      <c r="H9" s="1">
        <v>46028</v>
      </c>
      <c r="I9" s="2">
        <v>46028</v>
      </c>
      <c r="K9" s="1"/>
    </row>
    <row r="10" spans="1:11" x14ac:dyDescent="0.3">
      <c r="A10" t="s">
        <v>192</v>
      </c>
      <c r="B10" t="s">
        <v>212</v>
      </c>
      <c r="C10">
        <v>18</v>
      </c>
      <c r="D10" t="s">
        <v>224</v>
      </c>
      <c r="E10" t="s">
        <v>235</v>
      </c>
      <c r="F10" t="s">
        <v>171</v>
      </c>
      <c r="G10" t="s">
        <v>52</v>
      </c>
      <c r="H10" s="1">
        <v>46047</v>
      </c>
      <c r="I10" s="2">
        <v>46047</v>
      </c>
      <c r="K10" s="1"/>
    </row>
    <row r="11" spans="1:11" x14ac:dyDescent="0.3">
      <c r="A11" t="s">
        <v>193</v>
      </c>
      <c r="B11" t="s">
        <v>213</v>
      </c>
      <c r="C11">
        <v>20</v>
      </c>
      <c r="D11" t="s">
        <v>225</v>
      </c>
      <c r="E11" t="s">
        <v>236</v>
      </c>
      <c r="F11" t="s">
        <v>172</v>
      </c>
      <c r="G11" t="s">
        <v>52</v>
      </c>
      <c r="H11" s="1">
        <v>46049</v>
      </c>
      <c r="I11" s="2">
        <v>46049</v>
      </c>
      <c r="K11" s="1"/>
    </row>
    <row r="12" spans="1:11" x14ac:dyDescent="0.3">
      <c r="A12" t="s">
        <v>194</v>
      </c>
      <c r="B12" t="s">
        <v>214</v>
      </c>
      <c r="C12">
        <v>25</v>
      </c>
      <c r="D12" t="s">
        <v>224</v>
      </c>
      <c r="E12" t="s">
        <v>237</v>
      </c>
      <c r="F12" t="s">
        <v>171</v>
      </c>
      <c r="G12" t="s">
        <v>57</v>
      </c>
      <c r="H12" s="1">
        <v>46058</v>
      </c>
      <c r="I12" s="2">
        <v>46058</v>
      </c>
    </row>
    <row r="13" spans="1:11" x14ac:dyDescent="0.3">
      <c r="A13" t="s">
        <v>195</v>
      </c>
      <c r="B13" t="s">
        <v>215</v>
      </c>
      <c r="C13">
        <v>25</v>
      </c>
      <c r="D13" t="s">
        <v>226</v>
      </c>
      <c r="E13" t="s">
        <v>238</v>
      </c>
      <c r="F13" t="s">
        <v>172</v>
      </c>
      <c r="G13" t="s">
        <v>58</v>
      </c>
      <c r="H13" s="1">
        <v>46059</v>
      </c>
      <c r="I13" s="2">
        <v>46059</v>
      </c>
    </row>
    <row r="14" spans="1:11" x14ac:dyDescent="0.3">
      <c r="A14" t="s">
        <v>196</v>
      </c>
      <c r="B14" t="s">
        <v>216</v>
      </c>
      <c r="C14">
        <v>40</v>
      </c>
      <c r="D14" t="s">
        <v>224</v>
      </c>
      <c r="E14" t="s">
        <v>239</v>
      </c>
      <c r="F14" t="s">
        <v>162</v>
      </c>
      <c r="G14" t="s">
        <v>48</v>
      </c>
      <c r="H14" s="1">
        <v>46063</v>
      </c>
      <c r="I14" s="2">
        <v>46063</v>
      </c>
    </row>
    <row r="15" spans="1:11" x14ac:dyDescent="0.3">
      <c r="A15" t="s">
        <v>197</v>
      </c>
      <c r="B15" t="s">
        <v>217</v>
      </c>
      <c r="C15">
        <v>40</v>
      </c>
      <c r="D15" t="s">
        <v>225</v>
      </c>
      <c r="E15" t="s">
        <v>240</v>
      </c>
      <c r="F15" t="s">
        <v>162</v>
      </c>
      <c r="G15" t="s">
        <v>48</v>
      </c>
      <c r="H15" s="1">
        <v>46068</v>
      </c>
      <c r="I15" s="2">
        <v>46068</v>
      </c>
    </row>
    <row r="16" spans="1:11" x14ac:dyDescent="0.3">
      <c r="A16" t="s">
        <v>198</v>
      </c>
      <c r="B16" t="s">
        <v>218</v>
      </c>
      <c r="C16">
        <v>65</v>
      </c>
      <c r="D16" t="s">
        <v>224</v>
      </c>
      <c r="E16" t="s">
        <v>241</v>
      </c>
      <c r="F16" t="s">
        <v>158</v>
      </c>
      <c r="G16" t="s">
        <v>48</v>
      </c>
      <c r="H16" s="1">
        <v>46073</v>
      </c>
      <c r="I16" s="2">
        <v>46073</v>
      </c>
    </row>
    <row r="17" spans="1:9" x14ac:dyDescent="0.3">
      <c r="A17" t="s">
        <v>199</v>
      </c>
      <c r="B17" t="s">
        <v>219</v>
      </c>
      <c r="C17">
        <v>70</v>
      </c>
      <c r="D17" t="s">
        <v>225</v>
      </c>
      <c r="E17" t="s">
        <v>242</v>
      </c>
      <c r="F17" t="s">
        <v>158</v>
      </c>
      <c r="G17" t="s">
        <v>48</v>
      </c>
      <c r="H17" s="1">
        <v>46073</v>
      </c>
      <c r="I17" s="2">
        <v>46073</v>
      </c>
    </row>
    <row r="18" spans="1:9" x14ac:dyDescent="0.3">
      <c r="A18" t="s">
        <v>200</v>
      </c>
      <c r="B18" t="s">
        <v>220</v>
      </c>
      <c r="C18">
        <v>50</v>
      </c>
      <c r="D18" t="s">
        <v>226</v>
      </c>
      <c r="E18" t="s">
        <v>243</v>
      </c>
      <c r="F18" t="s">
        <v>159</v>
      </c>
      <c r="G18" t="s">
        <v>65</v>
      </c>
      <c r="H18" s="1">
        <v>46058</v>
      </c>
      <c r="I18" s="2">
        <v>46058</v>
      </c>
    </row>
    <row r="19" spans="1:9" x14ac:dyDescent="0.3">
      <c r="A19" t="s">
        <v>201</v>
      </c>
      <c r="B19" t="s">
        <v>221</v>
      </c>
      <c r="C19">
        <v>25</v>
      </c>
      <c r="D19" t="s">
        <v>224</v>
      </c>
      <c r="E19" t="s">
        <v>244</v>
      </c>
      <c r="F19" t="s">
        <v>161</v>
      </c>
      <c r="G19" t="s">
        <v>65</v>
      </c>
      <c r="H19" s="1">
        <v>46059</v>
      </c>
      <c r="I19" s="2">
        <v>46059</v>
      </c>
    </row>
    <row r="20" spans="1:9" x14ac:dyDescent="0.3">
      <c r="A20" t="s">
        <v>202</v>
      </c>
      <c r="B20" t="s">
        <v>222</v>
      </c>
      <c r="C20">
        <v>27</v>
      </c>
      <c r="D20" t="s">
        <v>225</v>
      </c>
      <c r="E20" t="s">
        <v>245</v>
      </c>
      <c r="F20" t="s">
        <v>171</v>
      </c>
      <c r="G20" t="s">
        <v>66</v>
      </c>
      <c r="H20" s="1">
        <v>46078</v>
      </c>
      <c r="I20" s="2">
        <v>46078</v>
      </c>
    </row>
    <row r="21" spans="1:9" x14ac:dyDescent="0.3">
      <c r="A21" t="s">
        <v>203</v>
      </c>
      <c r="B21" t="s">
        <v>223</v>
      </c>
      <c r="C21">
        <v>30</v>
      </c>
      <c r="D21" t="s">
        <v>224</v>
      </c>
      <c r="E21" t="s">
        <v>246</v>
      </c>
      <c r="F21" t="s">
        <v>172</v>
      </c>
      <c r="G21" t="s">
        <v>66</v>
      </c>
      <c r="H21" s="1">
        <v>46080</v>
      </c>
      <c r="I21" s="2">
        <v>46080</v>
      </c>
    </row>
  </sheetData>
  <phoneticPr fontId="1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cols>
    <col min="1" max="2" width="9.44140625" bestFit="1" customWidth="1"/>
    <col min="3" max="3" width="10.109375" bestFit="1" customWidth="1"/>
    <col min="4" max="4" width="11.6640625" bestFit="1" customWidth="1"/>
    <col min="6" max="6" width="18.109375" bestFit="1" customWidth="1"/>
    <col min="7" max="7" width="13.21875" bestFit="1" customWidth="1"/>
    <col min="8" max="8" width="11.5546875" bestFit="1" customWidth="1"/>
  </cols>
  <sheetData>
    <row r="1" spans="1:9" x14ac:dyDescent="0.3">
      <c r="A1" t="s">
        <v>22</v>
      </c>
      <c r="B1" t="s">
        <v>16</v>
      </c>
      <c r="C1" t="s">
        <v>8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302</v>
      </c>
    </row>
    <row r="2" spans="1:9" x14ac:dyDescent="0.3">
      <c r="A2" t="s">
        <v>247</v>
      </c>
      <c r="B2" t="s">
        <v>184</v>
      </c>
      <c r="C2" t="s">
        <v>158</v>
      </c>
      <c r="D2" t="s">
        <v>252</v>
      </c>
      <c r="E2" t="s">
        <v>257</v>
      </c>
      <c r="F2" t="s">
        <v>262</v>
      </c>
      <c r="G2">
        <v>1000</v>
      </c>
      <c r="H2" s="1">
        <v>46027</v>
      </c>
      <c r="I2" s="2">
        <v>46027</v>
      </c>
    </row>
    <row r="3" spans="1:9" x14ac:dyDescent="0.3">
      <c r="A3" t="s">
        <v>247</v>
      </c>
      <c r="B3" t="s">
        <v>185</v>
      </c>
      <c r="C3" t="s">
        <v>158</v>
      </c>
      <c r="D3" t="s">
        <v>252</v>
      </c>
      <c r="E3" t="s">
        <v>257</v>
      </c>
      <c r="F3" t="s">
        <v>262</v>
      </c>
      <c r="G3">
        <v>1000</v>
      </c>
      <c r="H3" s="1">
        <v>46028</v>
      </c>
      <c r="I3" s="2">
        <v>46028</v>
      </c>
    </row>
    <row r="4" spans="1:9" x14ac:dyDescent="0.3">
      <c r="A4" t="s">
        <v>247</v>
      </c>
      <c r="B4" t="s">
        <v>186</v>
      </c>
      <c r="C4" t="s">
        <v>158</v>
      </c>
      <c r="D4" t="s">
        <v>252</v>
      </c>
      <c r="E4" t="s">
        <v>257</v>
      </c>
      <c r="F4" t="s">
        <v>262</v>
      </c>
      <c r="G4">
        <v>1000</v>
      </c>
      <c r="H4" s="1">
        <v>46032</v>
      </c>
      <c r="I4" s="2">
        <v>46032</v>
      </c>
    </row>
    <row r="5" spans="1:9" x14ac:dyDescent="0.3">
      <c r="A5" t="s">
        <v>247</v>
      </c>
      <c r="B5" t="s">
        <v>187</v>
      </c>
      <c r="C5" t="s">
        <v>158</v>
      </c>
      <c r="D5" t="s">
        <v>252</v>
      </c>
      <c r="E5" t="s">
        <v>257</v>
      </c>
      <c r="F5" t="s">
        <v>262</v>
      </c>
      <c r="G5">
        <v>1000</v>
      </c>
      <c r="H5" s="1">
        <v>46037</v>
      </c>
      <c r="I5" s="2">
        <v>46037</v>
      </c>
    </row>
    <row r="6" spans="1:9" x14ac:dyDescent="0.3">
      <c r="A6" t="s">
        <v>248</v>
      </c>
      <c r="B6" t="s">
        <v>188</v>
      </c>
      <c r="C6" t="s">
        <v>159</v>
      </c>
      <c r="D6" t="s">
        <v>253</v>
      </c>
      <c r="E6" t="s">
        <v>258</v>
      </c>
      <c r="F6" t="s">
        <v>263</v>
      </c>
      <c r="G6">
        <v>2500</v>
      </c>
      <c r="H6" s="1">
        <v>46042</v>
      </c>
      <c r="I6" s="2">
        <v>46042</v>
      </c>
    </row>
    <row r="7" spans="1:9" x14ac:dyDescent="0.3">
      <c r="A7" t="s">
        <v>248</v>
      </c>
      <c r="B7" t="s">
        <v>189</v>
      </c>
      <c r="C7" t="s">
        <v>159</v>
      </c>
      <c r="D7" t="s">
        <v>253</v>
      </c>
      <c r="E7" t="s">
        <v>258</v>
      </c>
      <c r="F7" t="s">
        <v>263</v>
      </c>
      <c r="G7">
        <v>2500</v>
      </c>
      <c r="H7" s="1">
        <v>46042</v>
      </c>
      <c r="I7" s="2">
        <v>46042</v>
      </c>
    </row>
    <row r="8" spans="1:9" x14ac:dyDescent="0.3">
      <c r="A8" t="s">
        <v>248</v>
      </c>
      <c r="B8" t="s">
        <v>190</v>
      </c>
      <c r="C8" t="s">
        <v>161</v>
      </c>
      <c r="D8" t="s">
        <v>253</v>
      </c>
      <c r="E8" t="s">
        <v>258</v>
      </c>
      <c r="F8" t="s">
        <v>263</v>
      </c>
      <c r="G8">
        <v>2500</v>
      </c>
      <c r="H8" s="1">
        <v>46027</v>
      </c>
      <c r="I8" s="2">
        <v>46027</v>
      </c>
    </row>
    <row r="9" spans="1:9" x14ac:dyDescent="0.3">
      <c r="A9" t="s">
        <v>248</v>
      </c>
      <c r="B9" t="s">
        <v>191</v>
      </c>
      <c r="C9" t="s">
        <v>161</v>
      </c>
      <c r="D9" t="s">
        <v>253</v>
      </c>
      <c r="E9" t="s">
        <v>258</v>
      </c>
      <c r="F9" t="s">
        <v>263</v>
      </c>
      <c r="G9">
        <v>2500</v>
      </c>
      <c r="H9" s="1">
        <v>46028</v>
      </c>
      <c r="I9" s="2">
        <v>46028</v>
      </c>
    </row>
    <row r="10" spans="1:9" x14ac:dyDescent="0.3">
      <c r="A10" t="s">
        <v>249</v>
      </c>
      <c r="B10" t="s">
        <v>192</v>
      </c>
      <c r="C10" t="s">
        <v>171</v>
      </c>
      <c r="D10" t="s">
        <v>254</v>
      </c>
      <c r="E10" t="s">
        <v>259</v>
      </c>
      <c r="F10" t="s">
        <v>264</v>
      </c>
      <c r="G10">
        <v>4000</v>
      </c>
      <c r="H10" s="1">
        <v>46047</v>
      </c>
      <c r="I10" s="2">
        <v>46047</v>
      </c>
    </row>
    <row r="11" spans="1:9" x14ac:dyDescent="0.3">
      <c r="A11" t="s">
        <v>249</v>
      </c>
      <c r="B11" t="s">
        <v>193</v>
      </c>
      <c r="C11" t="s">
        <v>172</v>
      </c>
      <c r="D11" t="s">
        <v>254</v>
      </c>
      <c r="E11" t="s">
        <v>259</v>
      </c>
      <c r="F11" t="s">
        <v>264</v>
      </c>
      <c r="G11">
        <v>4000</v>
      </c>
      <c r="H11" s="1">
        <v>46049</v>
      </c>
      <c r="I11" s="2">
        <v>46049</v>
      </c>
    </row>
    <row r="12" spans="1:9" x14ac:dyDescent="0.3">
      <c r="A12" t="s">
        <v>249</v>
      </c>
      <c r="B12" t="s">
        <v>194</v>
      </c>
      <c r="C12" t="s">
        <v>171</v>
      </c>
      <c r="D12" t="s">
        <v>254</v>
      </c>
      <c r="E12" t="s">
        <v>259</v>
      </c>
      <c r="F12" t="s">
        <v>264</v>
      </c>
      <c r="G12">
        <v>4000</v>
      </c>
      <c r="H12" s="1">
        <v>46058</v>
      </c>
      <c r="I12" s="2">
        <v>46058</v>
      </c>
    </row>
    <row r="13" spans="1:9" x14ac:dyDescent="0.3">
      <c r="A13" t="s">
        <v>249</v>
      </c>
      <c r="B13" t="s">
        <v>195</v>
      </c>
      <c r="C13" t="s">
        <v>172</v>
      </c>
      <c r="D13" t="s">
        <v>254</v>
      </c>
      <c r="E13" t="s">
        <v>259</v>
      </c>
      <c r="F13" t="s">
        <v>264</v>
      </c>
      <c r="G13">
        <v>4000</v>
      </c>
      <c r="H13" s="1">
        <v>46059</v>
      </c>
      <c r="I13" s="2">
        <v>46059</v>
      </c>
    </row>
    <row r="14" spans="1:9" x14ac:dyDescent="0.3">
      <c r="A14" t="s">
        <v>249</v>
      </c>
      <c r="B14" t="s">
        <v>196</v>
      </c>
      <c r="C14" t="s">
        <v>162</v>
      </c>
      <c r="D14" t="s">
        <v>254</v>
      </c>
      <c r="E14" t="s">
        <v>259</v>
      </c>
      <c r="F14" t="s">
        <v>264</v>
      </c>
      <c r="G14">
        <v>4000</v>
      </c>
      <c r="H14" s="1">
        <v>46063</v>
      </c>
      <c r="I14" s="2">
        <v>46063</v>
      </c>
    </row>
    <row r="15" spans="1:9" x14ac:dyDescent="0.3">
      <c r="A15" t="s">
        <v>250</v>
      </c>
      <c r="B15" t="s">
        <v>197</v>
      </c>
      <c r="C15" t="s">
        <v>162</v>
      </c>
      <c r="D15" t="s">
        <v>255</v>
      </c>
      <c r="E15" t="s">
        <v>260</v>
      </c>
      <c r="F15" t="s">
        <v>265</v>
      </c>
      <c r="G15">
        <v>7500</v>
      </c>
      <c r="H15" s="1">
        <v>46068</v>
      </c>
      <c r="I15" s="2">
        <v>46068</v>
      </c>
    </row>
    <row r="16" spans="1:9" x14ac:dyDescent="0.3">
      <c r="A16" t="s">
        <v>250</v>
      </c>
      <c r="B16" t="s">
        <v>198</v>
      </c>
      <c r="C16" t="s">
        <v>158</v>
      </c>
      <c r="D16" t="s">
        <v>255</v>
      </c>
      <c r="E16" t="s">
        <v>260</v>
      </c>
      <c r="F16" t="s">
        <v>265</v>
      </c>
      <c r="G16">
        <v>7500</v>
      </c>
      <c r="H16" s="1">
        <v>46073</v>
      </c>
      <c r="I16" s="2">
        <v>46073</v>
      </c>
    </row>
    <row r="17" spans="1:9" x14ac:dyDescent="0.3">
      <c r="A17" t="s">
        <v>250</v>
      </c>
      <c r="B17" t="s">
        <v>199</v>
      </c>
      <c r="C17" t="s">
        <v>158</v>
      </c>
      <c r="D17" t="s">
        <v>255</v>
      </c>
      <c r="E17" t="s">
        <v>260</v>
      </c>
      <c r="F17" t="s">
        <v>265</v>
      </c>
      <c r="G17">
        <v>7500</v>
      </c>
      <c r="H17" s="1">
        <v>46073</v>
      </c>
      <c r="I17" s="2">
        <v>46073</v>
      </c>
    </row>
    <row r="18" spans="1:9" x14ac:dyDescent="0.3">
      <c r="A18" t="s">
        <v>250</v>
      </c>
      <c r="B18" t="s">
        <v>200</v>
      </c>
      <c r="C18" t="s">
        <v>159</v>
      </c>
      <c r="D18" t="s">
        <v>255</v>
      </c>
      <c r="E18" t="s">
        <v>260</v>
      </c>
      <c r="F18" t="s">
        <v>265</v>
      </c>
      <c r="G18">
        <v>7500</v>
      </c>
      <c r="H18" s="1">
        <v>46058</v>
      </c>
      <c r="I18" s="2">
        <v>46058</v>
      </c>
    </row>
    <row r="19" spans="1:9" x14ac:dyDescent="0.3">
      <c r="A19" t="s">
        <v>251</v>
      </c>
      <c r="B19" t="s">
        <v>201</v>
      </c>
      <c r="C19" t="s">
        <v>161</v>
      </c>
      <c r="D19" t="s">
        <v>256</v>
      </c>
      <c r="E19" t="s">
        <v>261</v>
      </c>
      <c r="F19" t="s">
        <v>266</v>
      </c>
      <c r="G19">
        <v>25000</v>
      </c>
      <c r="H19" s="1">
        <v>46059</v>
      </c>
      <c r="I19" s="2">
        <v>46059</v>
      </c>
    </row>
    <row r="20" spans="1:9" x14ac:dyDescent="0.3">
      <c r="A20" t="s">
        <v>251</v>
      </c>
      <c r="B20" t="s">
        <v>202</v>
      </c>
      <c r="C20" t="s">
        <v>171</v>
      </c>
      <c r="D20" t="s">
        <v>256</v>
      </c>
      <c r="E20" t="s">
        <v>261</v>
      </c>
      <c r="F20" t="s">
        <v>266</v>
      </c>
      <c r="G20">
        <v>25000</v>
      </c>
      <c r="H20" s="1">
        <v>46078</v>
      </c>
      <c r="I20" s="2">
        <v>46078</v>
      </c>
    </row>
    <row r="21" spans="1:9" x14ac:dyDescent="0.3">
      <c r="A21" t="s">
        <v>251</v>
      </c>
      <c r="B21" t="s">
        <v>203</v>
      </c>
      <c r="C21" t="s">
        <v>172</v>
      </c>
      <c r="D21" t="s">
        <v>256</v>
      </c>
      <c r="E21" t="s">
        <v>261</v>
      </c>
      <c r="F21" t="s">
        <v>266</v>
      </c>
      <c r="G21">
        <v>25000</v>
      </c>
      <c r="H21" s="1">
        <v>46080</v>
      </c>
      <c r="I21" s="2">
        <v>46080</v>
      </c>
    </row>
  </sheetData>
  <phoneticPr fontId="1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G18" sqref="G18"/>
    </sheetView>
  </sheetViews>
  <sheetFormatPr defaultRowHeight="14.4" x14ac:dyDescent="0.3"/>
  <cols>
    <col min="1" max="1" width="13.21875" bestFit="1" customWidth="1"/>
    <col min="2" max="2" width="9.44140625" bestFit="1" customWidth="1"/>
    <col min="3" max="3" width="10.109375" bestFit="1" customWidth="1"/>
    <col min="4" max="4" width="14.21875" bestFit="1" customWidth="1"/>
    <col min="5" max="5" width="10.109375" bestFit="1" customWidth="1"/>
    <col min="6" max="6" width="12.88671875" bestFit="1" customWidth="1"/>
    <col min="7" max="7" width="15.21875" bestFit="1" customWidth="1"/>
  </cols>
  <sheetData>
    <row r="1" spans="1:8" x14ac:dyDescent="0.3">
      <c r="A1" t="s">
        <v>28</v>
      </c>
      <c r="B1" t="s">
        <v>16</v>
      </c>
      <c r="C1" t="s">
        <v>8</v>
      </c>
      <c r="D1" t="s">
        <v>29</v>
      </c>
      <c r="E1" t="s">
        <v>30</v>
      </c>
      <c r="F1" t="s">
        <v>31</v>
      </c>
      <c r="G1" t="s">
        <v>32</v>
      </c>
      <c r="H1" t="s">
        <v>302</v>
      </c>
    </row>
    <row r="2" spans="1:8" x14ac:dyDescent="0.3">
      <c r="A2" t="s">
        <v>267</v>
      </c>
      <c r="B2" t="s">
        <v>184</v>
      </c>
      <c r="C2" t="s">
        <v>158</v>
      </c>
      <c r="D2" t="s">
        <v>287</v>
      </c>
      <c r="E2" t="s">
        <v>288</v>
      </c>
      <c r="F2" t="s">
        <v>290</v>
      </c>
      <c r="G2" s="1">
        <v>46027</v>
      </c>
      <c r="H2" s="2">
        <v>46027</v>
      </c>
    </row>
    <row r="3" spans="1:8" x14ac:dyDescent="0.3">
      <c r="A3" t="s">
        <v>268</v>
      </c>
      <c r="B3" t="s">
        <v>185</v>
      </c>
      <c r="C3" t="s">
        <v>158</v>
      </c>
      <c r="D3" t="s">
        <v>287</v>
      </c>
      <c r="E3" t="s">
        <v>288</v>
      </c>
      <c r="F3" t="s">
        <v>290</v>
      </c>
      <c r="G3" s="1">
        <v>46028</v>
      </c>
      <c r="H3" s="2">
        <v>46028</v>
      </c>
    </row>
    <row r="4" spans="1:8" x14ac:dyDescent="0.3">
      <c r="A4" t="s">
        <v>269</v>
      </c>
      <c r="B4" t="s">
        <v>186</v>
      </c>
      <c r="C4" t="s">
        <v>158</v>
      </c>
      <c r="D4" t="s">
        <v>287</v>
      </c>
      <c r="E4" t="s">
        <v>288</v>
      </c>
      <c r="F4" t="s">
        <v>290</v>
      </c>
      <c r="G4" s="1">
        <v>46032</v>
      </c>
      <c r="H4" s="2">
        <v>46032</v>
      </c>
    </row>
    <row r="5" spans="1:8" x14ac:dyDescent="0.3">
      <c r="A5" t="s">
        <v>270</v>
      </c>
      <c r="B5" t="s">
        <v>187</v>
      </c>
      <c r="C5" t="s">
        <v>158</v>
      </c>
      <c r="D5" t="s">
        <v>287</v>
      </c>
      <c r="E5" t="s">
        <v>288</v>
      </c>
      <c r="F5" t="s">
        <v>290</v>
      </c>
      <c r="G5" s="1">
        <v>46037</v>
      </c>
      <c r="H5" s="2">
        <v>46037</v>
      </c>
    </row>
    <row r="6" spans="1:8" x14ac:dyDescent="0.3">
      <c r="A6" t="s">
        <v>271</v>
      </c>
      <c r="B6" t="s">
        <v>188</v>
      </c>
      <c r="C6" t="s">
        <v>159</v>
      </c>
      <c r="D6" t="s">
        <v>287</v>
      </c>
      <c r="E6" t="s">
        <v>288</v>
      </c>
      <c r="F6" t="s">
        <v>291</v>
      </c>
      <c r="G6" s="1">
        <v>46042</v>
      </c>
      <c r="H6" s="2">
        <v>46042</v>
      </c>
    </row>
    <row r="7" spans="1:8" x14ac:dyDescent="0.3">
      <c r="A7" t="s">
        <v>272</v>
      </c>
      <c r="B7" t="s">
        <v>189</v>
      </c>
      <c r="C7" t="s">
        <v>159</v>
      </c>
      <c r="D7" t="s">
        <v>289</v>
      </c>
      <c r="E7" t="s">
        <v>288</v>
      </c>
      <c r="F7" t="s">
        <v>291</v>
      </c>
      <c r="G7" s="1">
        <v>46042</v>
      </c>
      <c r="H7" s="2">
        <v>46042</v>
      </c>
    </row>
    <row r="8" spans="1:8" x14ac:dyDescent="0.3">
      <c r="A8" t="s">
        <v>273</v>
      </c>
      <c r="B8" t="s">
        <v>190</v>
      </c>
      <c r="C8" t="s">
        <v>161</v>
      </c>
      <c r="D8" t="s">
        <v>287</v>
      </c>
      <c r="E8" t="s">
        <v>288</v>
      </c>
      <c r="F8" t="s">
        <v>292</v>
      </c>
      <c r="G8" s="1">
        <v>46027</v>
      </c>
      <c r="H8" s="2">
        <v>46027</v>
      </c>
    </row>
    <row r="9" spans="1:8" x14ac:dyDescent="0.3">
      <c r="A9" t="s">
        <v>274</v>
      </c>
      <c r="B9" t="s">
        <v>191</v>
      </c>
      <c r="C9" t="s">
        <v>161</v>
      </c>
      <c r="D9" t="s">
        <v>289</v>
      </c>
      <c r="E9" t="s">
        <v>288</v>
      </c>
      <c r="F9" t="s">
        <v>292</v>
      </c>
      <c r="G9" s="1">
        <v>46028</v>
      </c>
      <c r="H9" s="2">
        <v>46028</v>
      </c>
    </row>
    <row r="10" spans="1:8" x14ac:dyDescent="0.3">
      <c r="A10" t="s">
        <v>275</v>
      </c>
      <c r="B10" t="s">
        <v>192</v>
      </c>
      <c r="C10" t="s">
        <v>171</v>
      </c>
      <c r="D10" t="s">
        <v>287</v>
      </c>
      <c r="E10" t="s">
        <v>288</v>
      </c>
      <c r="F10" t="s">
        <v>293</v>
      </c>
      <c r="G10" s="1">
        <v>46047</v>
      </c>
      <c r="H10" s="2">
        <v>46047</v>
      </c>
    </row>
    <row r="11" spans="1:8" x14ac:dyDescent="0.3">
      <c r="A11" t="s">
        <v>276</v>
      </c>
      <c r="B11" t="s">
        <v>193</v>
      </c>
      <c r="C11" t="s">
        <v>172</v>
      </c>
      <c r="D11" t="s">
        <v>287</v>
      </c>
      <c r="E11" t="s">
        <v>288</v>
      </c>
      <c r="F11" t="s">
        <v>294</v>
      </c>
      <c r="G11" s="1">
        <v>46049</v>
      </c>
      <c r="H11" s="2">
        <v>46049</v>
      </c>
    </row>
    <row r="12" spans="1:8" x14ac:dyDescent="0.3">
      <c r="A12" t="s">
        <v>277</v>
      </c>
      <c r="B12" t="s">
        <v>194</v>
      </c>
      <c r="C12" t="s">
        <v>171</v>
      </c>
      <c r="D12" t="s">
        <v>287</v>
      </c>
      <c r="E12" t="s">
        <v>288</v>
      </c>
      <c r="F12" t="s">
        <v>293</v>
      </c>
      <c r="G12" s="1">
        <v>46058</v>
      </c>
      <c r="H12" s="2">
        <v>46058</v>
      </c>
    </row>
    <row r="13" spans="1:8" x14ac:dyDescent="0.3">
      <c r="A13" t="s">
        <v>278</v>
      </c>
      <c r="B13" t="s">
        <v>195</v>
      </c>
      <c r="C13" t="s">
        <v>172</v>
      </c>
      <c r="D13" t="s">
        <v>287</v>
      </c>
      <c r="E13" t="s">
        <v>288</v>
      </c>
      <c r="F13" t="s">
        <v>294</v>
      </c>
      <c r="G13" s="1">
        <v>46059</v>
      </c>
      <c r="H13" s="2">
        <v>46059</v>
      </c>
    </row>
    <row r="14" spans="1:8" x14ac:dyDescent="0.3">
      <c r="A14" t="s">
        <v>279</v>
      </c>
      <c r="B14" t="s">
        <v>196</v>
      </c>
      <c r="C14" t="s">
        <v>162</v>
      </c>
      <c r="D14" t="s">
        <v>287</v>
      </c>
      <c r="E14" t="s">
        <v>288</v>
      </c>
      <c r="F14" t="s">
        <v>295</v>
      </c>
      <c r="G14" s="1">
        <v>46063</v>
      </c>
      <c r="H14" s="2">
        <v>46063</v>
      </c>
    </row>
    <row r="15" spans="1:8" x14ac:dyDescent="0.3">
      <c r="A15" t="s">
        <v>280</v>
      </c>
      <c r="B15" t="s">
        <v>197</v>
      </c>
      <c r="C15" t="s">
        <v>162</v>
      </c>
      <c r="D15" t="s">
        <v>287</v>
      </c>
      <c r="E15" t="s">
        <v>288</v>
      </c>
      <c r="F15" t="s">
        <v>295</v>
      </c>
      <c r="G15" s="1">
        <v>46068</v>
      </c>
      <c r="H15" s="2">
        <v>46068</v>
      </c>
    </row>
    <row r="16" spans="1:8" x14ac:dyDescent="0.3">
      <c r="A16" t="s">
        <v>281</v>
      </c>
      <c r="B16" t="s">
        <v>198</v>
      </c>
      <c r="C16" t="s">
        <v>158</v>
      </c>
      <c r="D16" t="s">
        <v>287</v>
      </c>
      <c r="E16" t="s">
        <v>288</v>
      </c>
      <c r="F16" t="s">
        <v>290</v>
      </c>
      <c r="G16" s="1">
        <v>46073</v>
      </c>
      <c r="H16" s="2">
        <v>46073</v>
      </c>
    </row>
    <row r="17" spans="1:8" x14ac:dyDescent="0.3">
      <c r="A17" t="s">
        <v>282</v>
      </c>
      <c r="B17" t="s">
        <v>199</v>
      </c>
      <c r="C17" t="s">
        <v>158</v>
      </c>
      <c r="D17" t="s">
        <v>287</v>
      </c>
      <c r="E17" t="s">
        <v>288</v>
      </c>
      <c r="F17" t="s">
        <v>290</v>
      </c>
      <c r="G17" s="1">
        <v>46073</v>
      </c>
      <c r="H17" s="2">
        <v>46073</v>
      </c>
    </row>
    <row r="18" spans="1:8" x14ac:dyDescent="0.3">
      <c r="A18" t="s">
        <v>283</v>
      </c>
      <c r="B18" t="s">
        <v>200</v>
      </c>
      <c r="C18" t="s">
        <v>159</v>
      </c>
      <c r="D18" t="s">
        <v>287</v>
      </c>
      <c r="E18" t="s">
        <v>288</v>
      </c>
      <c r="F18" t="s">
        <v>291</v>
      </c>
      <c r="G18" s="1">
        <v>46058</v>
      </c>
      <c r="H18" s="2">
        <v>46058</v>
      </c>
    </row>
    <row r="19" spans="1:8" x14ac:dyDescent="0.3">
      <c r="A19" t="s">
        <v>284</v>
      </c>
      <c r="B19" t="s">
        <v>201</v>
      </c>
      <c r="C19" t="s">
        <v>161</v>
      </c>
      <c r="D19" t="s">
        <v>287</v>
      </c>
      <c r="E19" t="s">
        <v>288</v>
      </c>
      <c r="F19" t="s">
        <v>292</v>
      </c>
      <c r="G19" s="1">
        <v>46059</v>
      </c>
      <c r="H19" s="2">
        <v>46059</v>
      </c>
    </row>
    <row r="20" spans="1:8" x14ac:dyDescent="0.3">
      <c r="A20" t="s">
        <v>285</v>
      </c>
      <c r="B20" t="s">
        <v>202</v>
      </c>
      <c r="C20" t="s">
        <v>171</v>
      </c>
      <c r="D20" t="s">
        <v>287</v>
      </c>
      <c r="E20" t="s">
        <v>288</v>
      </c>
      <c r="F20" t="s">
        <v>293</v>
      </c>
      <c r="G20" s="1">
        <v>46078</v>
      </c>
      <c r="H20" s="2">
        <v>46078</v>
      </c>
    </row>
    <row r="21" spans="1:8" x14ac:dyDescent="0.3">
      <c r="A21" t="s">
        <v>286</v>
      </c>
      <c r="B21" t="s">
        <v>203</v>
      </c>
      <c r="C21" t="s">
        <v>172</v>
      </c>
      <c r="D21" t="s">
        <v>287</v>
      </c>
      <c r="E21" t="s">
        <v>288</v>
      </c>
      <c r="F21" t="s">
        <v>294</v>
      </c>
      <c r="G21" s="1">
        <v>46080</v>
      </c>
      <c r="H21" s="2">
        <v>46080</v>
      </c>
    </row>
  </sheetData>
  <phoneticPr fontId="1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H24" sqref="H24"/>
    </sheetView>
  </sheetViews>
  <sheetFormatPr defaultRowHeight="14.4" x14ac:dyDescent="0.3"/>
  <cols>
    <col min="1" max="1" width="14.5546875" bestFit="1" customWidth="1"/>
    <col min="2" max="2" width="10.44140625" bestFit="1" customWidth="1"/>
    <col min="3" max="3" width="10.109375" bestFit="1" customWidth="1"/>
    <col min="4" max="4" width="16.6640625" bestFit="1" customWidth="1"/>
    <col min="5" max="5" width="9.6640625" bestFit="1" customWidth="1"/>
    <col min="6" max="6" width="12.88671875" bestFit="1" customWidth="1"/>
    <col min="7" max="7" width="14.33203125" bestFit="1" customWidth="1"/>
  </cols>
  <sheetData>
    <row r="1" spans="1:7" x14ac:dyDescent="0.3">
      <c r="A1" s="3" t="s">
        <v>33</v>
      </c>
      <c r="B1" s="3" t="s">
        <v>0</v>
      </c>
      <c r="C1" s="3" t="s">
        <v>8</v>
      </c>
      <c r="D1" s="3" t="s">
        <v>34</v>
      </c>
      <c r="E1" s="3" t="s">
        <v>35</v>
      </c>
      <c r="F1" s="3" t="s">
        <v>36</v>
      </c>
      <c r="G1" s="3" t="s">
        <v>37</v>
      </c>
    </row>
    <row r="2" spans="1:7" x14ac:dyDescent="0.3">
      <c r="A2" s="3" t="s">
        <v>296</v>
      </c>
      <c r="B2" s="3" t="s">
        <v>47</v>
      </c>
      <c r="C2" s="3" t="s">
        <v>158</v>
      </c>
      <c r="D2" s="4">
        <v>6</v>
      </c>
      <c r="E2" s="4">
        <v>190000</v>
      </c>
      <c r="F2" s="5">
        <v>46023</v>
      </c>
      <c r="G2" s="6">
        <v>46053</v>
      </c>
    </row>
    <row r="3" spans="1:7" x14ac:dyDescent="0.3">
      <c r="A3" s="3" t="s">
        <v>297</v>
      </c>
      <c r="B3" s="3" t="s">
        <v>48</v>
      </c>
      <c r="C3" s="3" t="s">
        <v>159</v>
      </c>
      <c r="D3" s="4">
        <v>3</v>
      </c>
      <c r="E3" s="4">
        <v>125000</v>
      </c>
      <c r="F3" s="5">
        <v>46054</v>
      </c>
      <c r="G3" s="6">
        <v>46081</v>
      </c>
    </row>
    <row r="4" spans="1:7" x14ac:dyDescent="0.3">
      <c r="A4" s="3" t="s">
        <v>298</v>
      </c>
      <c r="B4" s="3" t="s">
        <v>50</v>
      </c>
      <c r="C4" s="3" t="s">
        <v>161</v>
      </c>
      <c r="D4" s="4">
        <v>3</v>
      </c>
      <c r="E4" s="4">
        <v>300000</v>
      </c>
      <c r="F4" s="5">
        <v>46023</v>
      </c>
      <c r="G4" s="6">
        <v>46053</v>
      </c>
    </row>
    <row r="5" spans="1:7" x14ac:dyDescent="0.3">
      <c r="A5" s="3" t="s">
        <v>301</v>
      </c>
      <c r="B5" s="3" t="s">
        <v>51</v>
      </c>
      <c r="C5" s="3" t="s">
        <v>162</v>
      </c>
      <c r="D5" s="4">
        <v>2</v>
      </c>
      <c r="E5" s="4">
        <v>115000</v>
      </c>
      <c r="F5" s="5">
        <v>46023</v>
      </c>
      <c r="G5" s="6">
        <v>46053</v>
      </c>
    </row>
    <row r="6" spans="1:7" x14ac:dyDescent="0.3">
      <c r="A6" s="3" t="s">
        <v>299</v>
      </c>
      <c r="B6" s="3" t="s">
        <v>52</v>
      </c>
      <c r="C6" s="3" t="s">
        <v>171</v>
      </c>
      <c r="D6" s="4">
        <v>3</v>
      </c>
      <c r="E6" s="4">
        <v>330000</v>
      </c>
      <c r="F6" s="5">
        <v>46054</v>
      </c>
      <c r="G6" s="6">
        <v>46081</v>
      </c>
    </row>
    <row r="7" spans="1:7" x14ac:dyDescent="0.3">
      <c r="A7" s="3" t="s">
        <v>300</v>
      </c>
      <c r="B7" s="3" t="s">
        <v>53</v>
      </c>
      <c r="C7" s="3" t="s">
        <v>172</v>
      </c>
      <c r="D7" s="4">
        <v>3</v>
      </c>
      <c r="E7" s="4">
        <v>630000</v>
      </c>
      <c r="F7" s="5">
        <v>46054</v>
      </c>
      <c r="G7" s="6">
        <v>46081</v>
      </c>
    </row>
  </sheetData>
  <sortState xmlns:xlrd2="http://schemas.microsoft.com/office/spreadsheetml/2017/richdata2" ref="A2:G21">
    <sortCondition ref="A1:A21"/>
  </sortState>
  <phoneticPr fontId="1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D14" sqref="D14"/>
    </sheetView>
  </sheetViews>
  <sheetFormatPr defaultRowHeight="14.4" x14ac:dyDescent="0.3"/>
  <cols>
    <col min="1" max="1" width="8.109375" bestFit="1" customWidth="1"/>
    <col min="2" max="2" width="10.44140625" bestFit="1" customWidth="1"/>
    <col min="3" max="3" width="10.109375" bestFit="1" customWidth="1"/>
    <col min="4" max="4" width="10.21875" bestFit="1" customWidth="1"/>
    <col min="5" max="5" width="20.88671875" customWidth="1"/>
    <col min="6" max="6" width="16.77734375" bestFit="1" customWidth="1"/>
    <col min="7" max="7" width="10.21875" bestFit="1" customWidth="1"/>
  </cols>
  <sheetData>
    <row r="1" spans="1:7" x14ac:dyDescent="0.3">
      <c r="A1" t="s">
        <v>38</v>
      </c>
      <c r="B1" t="s">
        <v>0</v>
      </c>
      <c r="C1" t="s">
        <v>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">
      <c r="A2" t="s">
        <v>303</v>
      </c>
      <c r="B2" t="s">
        <v>47</v>
      </c>
      <c r="C2" t="s">
        <v>158</v>
      </c>
      <c r="D2" t="s">
        <v>318</v>
      </c>
      <c r="E2" t="s">
        <v>320</v>
      </c>
      <c r="F2" t="s">
        <v>324</v>
      </c>
      <c r="G2" s="6">
        <v>46053</v>
      </c>
    </row>
    <row r="3" spans="1:7" x14ac:dyDescent="0.3">
      <c r="A3" t="s">
        <v>304</v>
      </c>
      <c r="B3" t="s">
        <v>50</v>
      </c>
      <c r="C3" t="s">
        <v>158</v>
      </c>
      <c r="D3" t="s">
        <v>318</v>
      </c>
      <c r="E3" t="s">
        <v>320</v>
      </c>
      <c r="F3" t="s">
        <v>324</v>
      </c>
      <c r="G3" s="6">
        <v>46081</v>
      </c>
    </row>
    <row r="4" spans="1:7" x14ac:dyDescent="0.3">
      <c r="A4" t="s">
        <v>305</v>
      </c>
      <c r="B4" t="s">
        <v>50</v>
      </c>
      <c r="C4" t="s">
        <v>159</v>
      </c>
      <c r="D4" t="s">
        <v>318</v>
      </c>
      <c r="E4" t="s">
        <v>321</v>
      </c>
      <c r="F4" t="s">
        <v>324</v>
      </c>
      <c r="G4" s="6">
        <v>46053</v>
      </c>
    </row>
    <row r="5" spans="1:7" x14ac:dyDescent="0.3">
      <c r="A5" t="s">
        <v>306</v>
      </c>
      <c r="B5" t="s">
        <v>52</v>
      </c>
      <c r="C5" t="s">
        <v>159</v>
      </c>
      <c r="D5" t="s">
        <v>318</v>
      </c>
      <c r="E5" t="s">
        <v>321</v>
      </c>
      <c r="F5" t="s">
        <v>324</v>
      </c>
      <c r="G5" s="6">
        <v>46053</v>
      </c>
    </row>
    <row r="6" spans="1:7" x14ac:dyDescent="0.3">
      <c r="A6" t="s">
        <v>307</v>
      </c>
      <c r="B6" t="s">
        <v>52</v>
      </c>
      <c r="C6" t="s">
        <v>161</v>
      </c>
      <c r="D6" t="s">
        <v>318</v>
      </c>
      <c r="E6" t="s">
        <v>322</v>
      </c>
      <c r="F6" t="s">
        <v>324</v>
      </c>
      <c r="G6" s="6">
        <v>46081</v>
      </c>
    </row>
    <row r="7" spans="1:7" x14ac:dyDescent="0.3">
      <c r="A7" t="s">
        <v>308</v>
      </c>
      <c r="B7" t="s">
        <v>52</v>
      </c>
      <c r="C7" t="s">
        <v>171</v>
      </c>
      <c r="D7" t="s">
        <v>318</v>
      </c>
      <c r="E7" t="s">
        <v>322</v>
      </c>
      <c r="F7" t="s">
        <v>324</v>
      </c>
      <c r="G7" s="6">
        <v>46081</v>
      </c>
    </row>
    <row r="8" spans="1:7" x14ac:dyDescent="0.3">
      <c r="A8" t="s">
        <v>309</v>
      </c>
      <c r="B8" t="s">
        <v>52</v>
      </c>
      <c r="C8" t="s">
        <v>172</v>
      </c>
      <c r="D8" t="s">
        <v>319</v>
      </c>
      <c r="E8" t="s">
        <v>320</v>
      </c>
      <c r="F8" t="s">
        <v>324</v>
      </c>
      <c r="G8" s="6">
        <v>46053</v>
      </c>
    </row>
    <row r="9" spans="1:7" x14ac:dyDescent="0.3">
      <c r="A9" t="s">
        <v>310</v>
      </c>
      <c r="B9" t="s">
        <v>57</v>
      </c>
      <c r="C9" t="s">
        <v>171</v>
      </c>
      <c r="D9" t="s">
        <v>319</v>
      </c>
      <c r="E9" t="s">
        <v>321</v>
      </c>
      <c r="F9" t="s">
        <v>324</v>
      </c>
      <c r="G9" s="6">
        <v>46081</v>
      </c>
    </row>
    <row r="10" spans="1:7" x14ac:dyDescent="0.3">
      <c r="A10" t="s">
        <v>311</v>
      </c>
      <c r="B10" t="s">
        <v>58</v>
      </c>
      <c r="C10" t="s">
        <v>172</v>
      </c>
      <c r="D10" t="s">
        <v>319</v>
      </c>
      <c r="E10" t="s">
        <v>321</v>
      </c>
      <c r="F10" t="s">
        <v>324</v>
      </c>
      <c r="G10" s="6">
        <v>46053</v>
      </c>
    </row>
    <row r="11" spans="1:7" x14ac:dyDescent="0.3">
      <c r="A11" t="s">
        <v>312</v>
      </c>
      <c r="B11" t="s">
        <v>48</v>
      </c>
      <c r="C11" t="s">
        <v>162</v>
      </c>
      <c r="D11" t="s">
        <v>319</v>
      </c>
      <c r="E11" t="s">
        <v>323</v>
      </c>
      <c r="F11" t="s">
        <v>325</v>
      </c>
      <c r="G11" s="6">
        <v>46053</v>
      </c>
    </row>
    <row r="12" spans="1:7" x14ac:dyDescent="0.3">
      <c r="A12" t="s">
        <v>313</v>
      </c>
      <c r="B12" t="s">
        <v>48</v>
      </c>
      <c r="C12" t="s">
        <v>158</v>
      </c>
      <c r="D12" t="s">
        <v>318</v>
      </c>
      <c r="E12" t="s">
        <v>321</v>
      </c>
      <c r="F12" t="s">
        <v>324</v>
      </c>
      <c r="G12" s="6">
        <v>46081</v>
      </c>
    </row>
    <row r="13" spans="1:7" x14ac:dyDescent="0.3">
      <c r="A13" t="s">
        <v>314</v>
      </c>
      <c r="B13" t="s">
        <v>65</v>
      </c>
      <c r="C13" t="s">
        <v>159</v>
      </c>
      <c r="D13" t="s">
        <v>318</v>
      </c>
      <c r="E13" t="s">
        <v>320</v>
      </c>
      <c r="F13" t="s">
        <v>324</v>
      </c>
      <c r="G13" s="6">
        <v>46081</v>
      </c>
    </row>
    <row r="14" spans="1:7" x14ac:dyDescent="0.3">
      <c r="A14" t="s">
        <v>315</v>
      </c>
      <c r="B14" t="s">
        <v>65</v>
      </c>
      <c r="C14" t="s">
        <v>161</v>
      </c>
      <c r="D14" t="s">
        <v>318</v>
      </c>
      <c r="E14" t="s">
        <v>320</v>
      </c>
      <c r="F14" t="s">
        <v>324</v>
      </c>
      <c r="G14" s="6">
        <v>46081</v>
      </c>
    </row>
    <row r="15" spans="1:7" x14ac:dyDescent="0.3">
      <c r="A15" t="s">
        <v>316</v>
      </c>
      <c r="B15" t="s">
        <v>66</v>
      </c>
      <c r="C15" t="s">
        <v>171</v>
      </c>
      <c r="D15" t="s">
        <v>318</v>
      </c>
      <c r="E15" t="s">
        <v>323</v>
      </c>
      <c r="F15" t="s">
        <v>325</v>
      </c>
      <c r="G15" s="6">
        <v>46081</v>
      </c>
    </row>
    <row r="16" spans="1:7" x14ac:dyDescent="0.3">
      <c r="A16" t="s">
        <v>317</v>
      </c>
      <c r="B16" t="s">
        <v>66</v>
      </c>
      <c r="C16" t="s">
        <v>172</v>
      </c>
      <c r="D16" t="s">
        <v>318</v>
      </c>
      <c r="E16" t="s">
        <v>321</v>
      </c>
      <c r="F16" t="s">
        <v>324</v>
      </c>
      <c r="G16" s="6">
        <v>46081</v>
      </c>
    </row>
  </sheetData>
  <phoneticPr fontId="1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sqref="A1:G1"/>
    </sheetView>
  </sheetViews>
  <sheetFormatPr defaultRowHeight="14.4" x14ac:dyDescent="0.3"/>
  <cols>
    <col min="1" max="1" width="10.109375" bestFit="1" customWidth="1"/>
    <col min="2" max="2" width="10.44140625" bestFit="1" customWidth="1"/>
    <col min="3" max="3" width="15.109375" bestFit="1" customWidth="1"/>
    <col min="4" max="4" width="15.109375" customWidth="1"/>
    <col min="5" max="5" width="11.6640625" bestFit="1" customWidth="1"/>
    <col min="6" max="6" width="17" customWidth="1"/>
    <col min="7" max="7" width="12.21875" bestFit="1" customWidth="1"/>
  </cols>
  <sheetData>
    <row r="1" spans="1:7" x14ac:dyDescent="0.3">
      <c r="A1" t="s">
        <v>8</v>
      </c>
      <c r="B1" t="s">
        <v>0</v>
      </c>
      <c r="C1" t="s">
        <v>43</v>
      </c>
      <c r="D1" t="s">
        <v>326</v>
      </c>
      <c r="E1" t="s">
        <v>44</v>
      </c>
      <c r="F1" t="s">
        <v>45</v>
      </c>
      <c r="G1" t="s">
        <v>46</v>
      </c>
    </row>
    <row r="2" spans="1:7" x14ac:dyDescent="0.3">
      <c r="A2" s="3" t="s">
        <v>158</v>
      </c>
      <c r="B2" s="3" t="s">
        <v>47</v>
      </c>
      <c r="C2" t="s">
        <v>324</v>
      </c>
      <c r="D2">
        <v>500000</v>
      </c>
      <c r="E2" s="7">
        <f>Data_Reporting!E2/Status_Dashboard!D2*100</f>
        <v>38</v>
      </c>
      <c r="F2" t="s">
        <v>327</v>
      </c>
      <c r="G2" s="6">
        <v>46053</v>
      </c>
    </row>
    <row r="3" spans="1:7" x14ac:dyDescent="0.3">
      <c r="A3" s="3" t="s">
        <v>159</v>
      </c>
      <c r="B3" s="3" t="s">
        <v>48</v>
      </c>
      <c r="C3" t="s">
        <v>324</v>
      </c>
      <c r="D3">
        <v>500000</v>
      </c>
      <c r="E3" s="7">
        <f>Data_Reporting!E3/Status_Dashboard!D3*100</f>
        <v>25</v>
      </c>
      <c r="F3" t="s">
        <v>328</v>
      </c>
      <c r="G3" s="6">
        <v>46081</v>
      </c>
    </row>
    <row r="4" spans="1:7" x14ac:dyDescent="0.3">
      <c r="A4" s="3" t="s">
        <v>161</v>
      </c>
      <c r="B4" s="3" t="s">
        <v>50</v>
      </c>
      <c r="C4" t="s">
        <v>324</v>
      </c>
      <c r="D4">
        <v>300000</v>
      </c>
      <c r="E4" s="7">
        <f>Data_Reporting!E4/Status_Dashboard!D4*100</f>
        <v>100</v>
      </c>
      <c r="F4" t="s">
        <v>329</v>
      </c>
      <c r="G4" s="6">
        <v>46053</v>
      </c>
    </row>
    <row r="5" spans="1:7" x14ac:dyDescent="0.3">
      <c r="A5" s="3" t="s">
        <v>162</v>
      </c>
      <c r="B5" s="3" t="s">
        <v>51</v>
      </c>
      <c r="C5" t="s">
        <v>324</v>
      </c>
      <c r="D5">
        <v>300000</v>
      </c>
      <c r="E5" s="7">
        <f>Data_Reporting!E5/Status_Dashboard!D5*100</f>
        <v>38.333333333333336</v>
      </c>
      <c r="F5" t="s">
        <v>330</v>
      </c>
      <c r="G5" s="6">
        <v>46053</v>
      </c>
    </row>
    <row r="6" spans="1:7" x14ac:dyDescent="0.3">
      <c r="A6" s="3" t="s">
        <v>171</v>
      </c>
      <c r="B6" s="3" t="s">
        <v>52</v>
      </c>
      <c r="C6" t="s">
        <v>324</v>
      </c>
      <c r="D6">
        <v>350000</v>
      </c>
      <c r="E6" s="7">
        <f>Data_Reporting!E6/Status_Dashboard!D6*100</f>
        <v>94.285714285714278</v>
      </c>
      <c r="F6" t="s">
        <v>329</v>
      </c>
      <c r="G6" s="6">
        <v>46081</v>
      </c>
    </row>
    <row r="7" spans="1:7" x14ac:dyDescent="0.3">
      <c r="A7" s="3" t="s">
        <v>172</v>
      </c>
      <c r="B7" s="3" t="s">
        <v>53</v>
      </c>
      <c r="C7" t="s">
        <v>324</v>
      </c>
      <c r="D7">
        <v>300000</v>
      </c>
      <c r="E7" s="7">
        <f>Data_Reporting!E7/Status_Dashboard!D7*100</f>
        <v>210</v>
      </c>
      <c r="F7" t="s">
        <v>331</v>
      </c>
      <c r="G7" s="6">
        <v>46081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Hospital_Master</vt:lpstr>
      <vt:lpstr>Welfare_Schemes</vt:lpstr>
      <vt:lpstr>Patient_Registration</vt:lpstr>
      <vt:lpstr>Service_Provision</vt:lpstr>
      <vt:lpstr>Beneficiary_Verification</vt:lpstr>
      <vt:lpstr>Data_Reporting</vt:lpstr>
      <vt:lpstr>Monitoring_Audit</vt:lpstr>
      <vt:lpstr>Status_Dashboard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Kahar, Mahendra</cp:lastModifiedBy>
  <dcterms:created xsi:type="dcterms:W3CDTF">2026-02-07T04:48:25Z</dcterms:created>
  <dcterms:modified xsi:type="dcterms:W3CDTF">2026-02-09T07:29:31Z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2026-02-07T04:50:24Z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a5f074ea-f6cf-4aaf-84cf-d93fa1f5cbc4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